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Round trips" sheetId="3" state="visible" r:id="rId3"/>
    <sheet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$#,##0.00"/>
    <numFmt numFmtId="167" formatCode="$#,##0.00;[Red]-$#,##0.00"/>
    <numFmt numFmtId="168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27284"/>
    </font>
    <font>
      <name val="Arial"/>
      <b val="1"/>
      <color rgb="00132130"/>
      <sz val="16"/>
    </font>
    <font>
      <name val="Arial"/>
      <color rgb="00627284"/>
      <sz val="10"/>
    </font>
    <font>
      <name val="Arial"/>
      <b val="1"/>
      <sz val="10"/>
    </font>
    <font>
      <name val="Arial"/>
      <sz val="10"/>
    </font>
    <font>
      <name val="Arial"/>
      <i val="1"/>
      <color rgb="00627284"/>
      <sz val="9"/>
    </font>
  </fonts>
  <fills count="3">
    <fill>
      <patternFill/>
    </fill>
    <fill>
      <patternFill patternType="gray125"/>
    </fill>
    <fill>
      <patternFill patternType="solid">
        <fgColor rgb="000D6E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Trade Journal · Week 43 · 2026</t>
        </is>
      </c>
    </row>
    <row r="2">
      <c r="A2" s="2" t="inlineStr">
        <is>
          <t>Generated (Berlin)</t>
        </is>
      </c>
      <c r="B2" s="3" t="n">
        <v>46319.57267361111</v>
      </c>
      <c r="C2" s="2" t="inlineStr">
        <is>
          <t>Period</t>
        </is>
      </c>
      <c r="D2" s="4" t="inlineStr">
        <is>
          <t>Mon 19 Oct 2026 to Sun 25 Oct 2026 (New York dates)</t>
        </is>
      </c>
    </row>
    <row r="3">
      <c r="A3" s="2" t="inlineStr">
        <is>
          <t>Generated (New York)</t>
        </is>
      </c>
      <c r="B3" s="3" t="n">
        <v>46319.32267361111</v>
      </c>
    </row>
    <row r="4">
      <c r="A4" s="2" t="inlineStr">
        <is>
          <t>Account</t>
        </is>
      </c>
      <c r="B4" s="4" t="inlineStr">
        <is>
          <t>Paper (practice money)</t>
        </is>
      </c>
    </row>
    <row r="5">
      <c r="A5" s="2" t="inlineStr">
        <is>
          <t>Auto-trader switch</t>
        </is>
      </c>
      <c r="B5" s="4" t="inlineStr">
        <is>
          <t>ON</t>
        </is>
      </c>
    </row>
    <row r="7" ht="30" customHeight="1">
      <c r="A7" s="5" t="inlineStr">
        <is>
          <t>Measure</t>
        </is>
      </c>
      <c r="B7" s="5" t="inlineStr">
        <is>
          <t>Value</t>
        </is>
      </c>
    </row>
    <row r="8">
      <c r="A8" s="6" t="inlineStr">
        <is>
          <t>Orders placed</t>
        </is>
      </c>
      <c r="B8" s="7">
        <f>COUNTIF(Orders!$E$2:$E$2,"BUY")+COUNTIF(Orders!$E$2:$E$2,"SELL")</f>
        <v/>
      </c>
    </row>
    <row r="9">
      <c r="A9" s="6" t="inlineStr">
        <is>
          <t>Buy orders</t>
        </is>
      </c>
      <c r="B9" s="7">
        <f>COUNTIF(Orders!$E$2:$E$2,"BUY")</f>
        <v/>
      </c>
    </row>
    <row r="10">
      <c r="A10" s="6" t="inlineStr">
        <is>
          <t>Sell orders</t>
        </is>
      </c>
      <c r="B10" s="7">
        <f>COUNTIF(Orders!$E$2:$E$2,"SELL")</f>
        <v/>
      </c>
    </row>
    <row r="11">
      <c r="A11" s="6" t="inlineStr">
        <is>
          <t>Filled orders</t>
        </is>
      </c>
      <c r="B11" s="7">
        <f>COUNTIF(Orders!$I$2:$I$2,"filled")</f>
        <v/>
      </c>
    </row>
    <row r="12">
      <c r="A12" s="6" t="inlineStr">
        <is>
          <t>Total bought $</t>
        </is>
      </c>
      <c r="B12" s="8">
        <f>SUMIFS(Orders!$L$2:$L$2,Orders!$E$2:$E$2,"BUY")</f>
        <v/>
      </c>
    </row>
    <row r="13">
      <c r="A13" s="6" t="inlineStr">
        <is>
          <t>Total sold $</t>
        </is>
      </c>
      <c r="B13" s="8">
        <f>SUMIFS(Orders!$L$2:$L$2,Orders!$E$2:$E$2,"SELL")</f>
        <v/>
      </c>
    </row>
    <row r="14">
      <c r="A14" s="6" t="inlineStr">
        <is>
          <t>Closed round trips</t>
        </is>
      </c>
      <c r="B14" s="7">
        <f>COUNTIF('Round trips'!$P$2:$P$2,"Closed")</f>
        <v/>
      </c>
    </row>
    <row r="15">
      <c r="A15" s="6" t="inlineStr">
        <is>
          <t>Open lots</t>
        </is>
      </c>
      <c r="B15" s="7">
        <f>COUNTIF('Round trips'!$P$2:$P$2,"Open")</f>
        <v/>
      </c>
    </row>
    <row r="16">
      <c r="A16" s="6" t="inlineStr">
        <is>
          <t>Realized P/L $</t>
        </is>
      </c>
      <c r="B16" s="9">
        <f>SUM('Round trips'!$L$2:$L$2)</f>
        <v/>
      </c>
    </row>
    <row r="17">
      <c r="A17" s="6" t="inlineStr">
        <is>
          <t>Winning round trips</t>
        </is>
      </c>
      <c r="B17" s="7">
        <f>COUNTIFS('Round trips'!$P$2:$P$2,"Closed",'Round trips'!$L$2:$L$2,"&gt;0")</f>
        <v/>
      </c>
    </row>
    <row r="18">
      <c r="A18" s="6" t="inlineStr">
        <is>
          <t>Win rate</t>
        </is>
      </c>
      <c r="B18" s="10">
        <f>IFERROR(B17/B14,0)</f>
        <v/>
      </c>
    </row>
    <row r="20">
      <c r="A20" s="11" t="inlineStr">
        <is>
          <t>Times: New York is the exchange clock; Berlin is your local time. Round trips match buys to sells first-in-first-out.</t>
        </is>
      </c>
    </row>
    <row r="21">
      <c r="A21" s="11" t="inlineStr">
        <is>
          <t>Source: Alpaca order data recorded by the auto-trader at the moment each order was placed.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V2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7" customWidth="1" min="5" max="5"/>
    <col width="9" customWidth="1" min="6" max="6"/>
    <col width="28" customWidth="1" min="7" max="7"/>
    <col width="10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8" customWidth="1" min="15" max="15"/>
    <col width="40" customWidth="1" min="16" max="16"/>
    <col width="9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40" customWidth="1" min="23" max="23"/>
    <col width="11" customWidth="1" min="24" max="24"/>
    <col width="7" customWidth="1" min="25" max="25"/>
    <col width="11" customWidth="1" min="26" max="26"/>
    <col width="11" customWidth="1" min="27" max="27"/>
    <col width="11" customWidth="1" min="28" max="28"/>
    <col width="11" customWidth="1" min="29" max="29"/>
    <col width="10" customWidth="1" min="30" max="30"/>
    <col width="9" customWidth="1" min="31" max="31"/>
    <col width="9" customWidth="1" min="32" max="32"/>
    <col width="44" customWidth="1" min="33" max="33"/>
    <col width="13" customWidth="1" min="34" max="34"/>
    <col width="10" customWidth="1" min="35" max="35"/>
    <col width="15" customWidth="1" min="36" max="36"/>
    <col width="13" customWidth="1" min="37" max="37"/>
    <col width="8" customWidth="1" min="38" max="38"/>
    <col width="12" customWidth="1" min="39" max="39"/>
    <col width="13" customWidth="1" min="40" max="40"/>
    <col width="10" customWidth="1" min="41" max="41"/>
    <col width="8" customWidth="1" min="42" max="42"/>
    <col width="38" customWidth="1" min="43" max="43"/>
    <col width="40" customWidth="1" min="44" max="44"/>
    <col width="19" customWidth="1" min="45" max="45"/>
    <col width="19" customWidth="1" min="46" max="46"/>
    <col width="19" customWidth="1" min="47" max="47"/>
    <col width="40" customWidth="1" min="48" max="48"/>
  </cols>
  <sheetData>
    <row r="1" ht="30" customHeight="1">
      <c r="A1" s="5" t="inlineStr">
        <is>
          <t>No</t>
        </is>
      </c>
      <c r="B1" s="5" t="inlineStr">
        <is>
          <t>Time Berlin</t>
        </is>
      </c>
      <c r="C1" s="5" t="inlineStr">
        <is>
          <t>Time New York</t>
        </is>
      </c>
      <c r="D1" s="5" t="inlineStr">
        <is>
          <t>Time UTC</t>
        </is>
      </c>
      <c r="E1" s="5" t="inlineStr">
        <is>
          <t>Side</t>
        </is>
      </c>
      <c r="F1" s="5" t="inlineStr">
        <is>
          <t>Symbol</t>
        </is>
      </c>
      <c r="G1" s="5" t="inlineStr">
        <is>
          <t>Company</t>
        </is>
      </c>
      <c r="H1" s="5" t="inlineStr">
        <is>
          <t>Exchange</t>
        </is>
      </c>
      <c r="I1" s="5" t="inlineStr">
        <is>
          <t>Status</t>
        </is>
      </c>
      <c r="J1" s="5" t="inlineStr">
        <is>
          <t>Qty filled</t>
        </is>
      </c>
      <c r="K1" s="5" t="inlineStr">
        <is>
          <t>Avg fill price $</t>
        </is>
      </c>
      <c r="L1" s="5" t="inlineStr">
        <is>
          <t>Fill value $</t>
        </is>
      </c>
      <c r="M1" s="5" t="inlineStr">
        <is>
          <t>Requested $</t>
        </is>
      </c>
      <c r="N1" s="5" t="inlineStr">
        <is>
          <t>Requested qty</t>
        </is>
      </c>
      <c r="O1" s="5" t="inlineStr">
        <is>
          <t>Rule</t>
        </is>
      </c>
      <c r="P1" s="5" t="inlineStr">
        <is>
          <t>Reason</t>
        </is>
      </c>
      <c r="Q1" s="5" t="inlineStr">
        <is>
          <t>Greens (of 4)</t>
        </is>
      </c>
      <c r="R1" s="5" t="inlineStr">
        <is>
          <t>Agent rank</t>
        </is>
      </c>
      <c r="S1" s="5" t="inlineStr">
        <is>
          <t>1 Data real</t>
        </is>
      </c>
      <c r="T1" s="5" t="inlineStr">
        <is>
          <t>Source spread %</t>
        </is>
      </c>
      <c r="U1" s="5" t="inlineStr">
        <is>
          <t>2 Organic</t>
        </is>
      </c>
      <c r="V1" s="5" t="inlineStr">
        <is>
          <t>Organic score</t>
        </is>
      </c>
      <c r="W1" s="5" t="inlineStr">
        <is>
          <t>Organic flags</t>
        </is>
      </c>
      <c r="X1" s="5" t="inlineStr">
        <is>
          <t>3 Prediction</t>
        </is>
      </c>
      <c r="Y1" s="5" t="inlineStr">
        <is>
          <t>Call</t>
        </is>
      </c>
      <c r="Z1" s="5" t="inlineStr">
        <is>
          <t>Target $</t>
        </is>
      </c>
      <c r="AA1" s="5" t="inlineStr">
        <is>
          <t>Range low $</t>
        </is>
      </c>
      <c r="AB1" s="5" t="inlineStr">
        <is>
          <t>Range high $</t>
        </is>
      </c>
      <c r="AC1" s="5" t="inlineStr">
        <is>
          <t>Call due</t>
        </is>
      </c>
      <c r="AD1" s="5" t="inlineStr">
        <is>
          <t>Confidence</t>
        </is>
      </c>
      <c r="AE1" s="5" t="inlineStr">
        <is>
          <t>4 News</t>
        </is>
      </c>
      <c r="AF1" s="5" t="inlineStr">
        <is>
          <t>Headlines (72h)</t>
        </is>
      </c>
      <c r="AG1" s="5" t="inlineStr">
        <is>
          <t>Top headline</t>
        </is>
      </c>
      <c r="AH1" s="5" t="inlineStr">
        <is>
          <t>Price at decision $</t>
        </is>
      </c>
      <c r="AI1" s="5" t="inlineStr">
        <is>
          <t>Move today %</t>
        </is>
      </c>
      <c r="AJ1" s="5" t="inlineStr">
        <is>
          <t>Account equity before $</t>
        </is>
      </c>
      <c r="AK1" s="5" t="inlineStr">
        <is>
          <t>Cash before $</t>
        </is>
      </c>
      <c r="AL1" s="5" t="inlineStr">
        <is>
          <t>Slot %</t>
        </is>
      </c>
      <c r="AM1" s="5" t="inlineStr">
        <is>
          <t>Position qty before</t>
        </is>
      </c>
      <c r="AN1" s="5" t="inlineStr">
        <is>
          <t>Avg entry before $</t>
        </is>
      </c>
      <c r="AO1" s="5" t="inlineStr">
        <is>
          <t>P/L % before</t>
        </is>
      </c>
      <c r="AP1" s="5" t="inlineStr">
        <is>
          <t>Account</t>
        </is>
      </c>
      <c r="AQ1" s="5" t="inlineStr">
        <is>
          <t>Order ID</t>
        </is>
      </c>
      <c r="AR1" s="5" t="inlineStr">
        <is>
          <t>Client order ID</t>
        </is>
      </c>
      <c r="AS1" s="5" t="inlineStr">
        <is>
          <t>Decided at (UTC)</t>
        </is>
      </c>
      <c r="AT1" s="5" t="inlineStr">
        <is>
          <t>Filled at (UTC)</t>
        </is>
      </c>
      <c r="AU1" s="5" t="inlineStr">
        <is>
          <t>Agent run (UTC)</t>
        </is>
      </c>
      <c r="AV1" s="5" t="inlineStr">
        <is>
          <t>Error</t>
        </is>
      </c>
    </row>
    <row r="2">
      <c r="A2" s="12" t="inlineStr">
        <is>
          <t>No orders yet. Rows appear here as soon as the auto-trader places one.</t>
        </is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20" customWidth="1" min="15" max="15"/>
    <col width="9" customWidth="1" min="16" max="16"/>
  </cols>
  <sheetData>
    <row r="1" ht="30" customHeight="1">
      <c r="A1" s="5" t="inlineStr">
        <is>
          <t>Symbol</t>
        </is>
      </c>
      <c r="B1" s="5" t="inlineStr">
        <is>
          <t>Company</t>
        </is>
      </c>
      <c r="C1" s="5" t="inlineStr">
        <is>
          <t>Bought (Berlin)</t>
        </is>
      </c>
      <c r="D1" s="5" t="inlineStr">
        <is>
          <t>Bought (New York)</t>
        </is>
      </c>
      <c r="E1" s="5" t="inlineStr">
        <is>
          <t>Buy price $</t>
        </is>
      </c>
      <c r="F1" s="5" t="inlineStr">
        <is>
          <t>Qty</t>
        </is>
      </c>
      <c r="G1" s="5" t="inlineStr">
        <is>
          <t>Cost $</t>
        </is>
      </c>
      <c r="H1" s="5" t="inlineStr">
        <is>
          <t>Sold (Berlin)</t>
        </is>
      </c>
      <c r="I1" s="5" t="inlineStr">
        <is>
          <t>Sold (New York)</t>
        </is>
      </c>
      <c r="J1" s="5" t="inlineStr">
        <is>
          <t>Sell price $</t>
        </is>
      </c>
      <c r="K1" s="5" t="inlineStr">
        <is>
          <t>Proceeds $</t>
        </is>
      </c>
      <c r="L1" s="5" t="inlineStr">
        <is>
          <t>P/L $</t>
        </is>
      </c>
      <c r="M1" s="5" t="inlineStr">
        <is>
          <t>P/L %</t>
        </is>
      </c>
      <c r="N1" s="5" t="inlineStr">
        <is>
          <t>Days held</t>
        </is>
      </c>
      <c r="O1" s="5" t="inlineStr">
        <is>
          <t>Exit rule</t>
        </is>
      </c>
      <c r="P1" s="5" t="inlineStr">
        <is>
          <t>Status</t>
        </is>
      </c>
    </row>
    <row r="2">
      <c r="A2" s="12" t="inlineStr">
        <is>
          <t>No filled buys yet.</t>
        </is>
      </c>
    </row>
  </sheetData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0" customHeight="1">
      <c r="A1" s="5" t="inlineStr">
        <is>
          <t>Rule</t>
        </is>
      </c>
      <c r="B1" s="5" t="inlineStr">
        <is>
          <t>What it does</t>
        </is>
      </c>
    </row>
    <row r="2">
      <c r="A2" s="13" t="inlineStr">
        <is>
          <t>Buy</t>
        </is>
      </c>
      <c r="B2" s="13" t="inlineStr">
        <is>
          <t>Only stocks rated 4 of 4 green that are not already held; funds/ETFs skipped</t>
        </is>
      </c>
    </row>
    <row r="3">
      <c r="A3" s="13" t="inlineStr">
        <is>
          <t>Slot size</t>
        </is>
      </c>
      <c r="B3" s="13" t="inlineStr">
        <is>
          <t>Account split into 12 equal slots of 8.33% each; cash only, never margin</t>
        </is>
      </c>
    </row>
    <row r="4">
      <c r="A4" s="13" t="inlineStr">
        <is>
          <t>No buys before close</t>
        </is>
      </c>
      <c r="B4" s="13" t="inlineStr">
        <is>
          <t>Last 30 minutes of the session: sells only</t>
        </is>
      </c>
    </row>
    <row r="5">
      <c r="A5" s="13" t="inlineStr">
        <is>
          <t>Daily loss guard</t>
        </is>
      </c>
      <c r="B5" s="13" t="inlineStr">
        <is>
          <t>No new buys on a day the account is down 5% or more</t>
        </is>
      </c>
    </row>
    <row r="6">
      <c r="A6" s="13" t="inlineStr">
        <is>
          <t>Exit: 3 green</t>
        </is>
      </c>
      <c r="B6" s="13" t="inlineStr">
        <is>
          <t>Sell half, once (not again within 3 days)</t>
        </is>
      </c>
    </row>
    <row r="7">
      <c r="A7" s="13" t="inlineStr">
        <is>
          <t>Exit: 2 or fewer green</t>
        </is>
      </c>
      <c r="B7" s="13" t="inlineStr">
        <is>
          <t>Sell everything</t>
        </is>
      </c>
    </row>
    <row r="8">
      <c r="A8" s="13" t="inlineStr">
        <is>
          <t>Stop-loss</t>
        </is>
      </c>
      <c r="B8" s="13" t="inlineStr">
        <is>
          <t>Down 5% from entry: sell everything</t>
        </is>
      </c>
    </row>
    <row r="9">
      <c r="A9" s="13" t="inlineStr">
        <is>
          <t>Take profit</t>
        </is>
      </c>
      <c r="B9" s="13" t="inlineStr">
        <is>
          <t>Up 20% from entry: sell everything</t>
        </is>
      </c>
    </row>
    <row r="10">
      <c r="A10" s="13" t="inlineStr">
        <is>
          <t>Scope</t>
        </is>
      </c>
      <c r="B10" s="13" t="inlineStr">
        <is>
          <t>Only positions the auto-trader bought (client order ID starts with tdagent-)</t>
        </is>
      </c>
    </row>
    <row r="11">
      <c r="A11" s="13" t="inlineStr">
        <is>
          <t>Check 1 · Data is real</t>
        </is>
      </c>
      <c r="B11" s="13" t="inlineStr">
        <is>
          <t>Price agrees across trade, quote, minute, hourly and daily bars; history has no broken bars or holes</t>
        </is>
      </c>
    </row>
    <row r="12">
      <c r="A12" s="13" t="inlineStr">
        <is>
          <t>Check 2 · Organic</t>
        </is>
      </c>
      <c r="B12" s="13" t="inlineStr">
        <is>
          <t>No volume pump without news, no one-day jump doing the work, no gaps, no pump-and-fade, not thin</t>
        </is>
      </c>
    </row>
    <row r="13">
      <c r="A13" s="13" t="inlineStr">
        <is>
          <t>Check 3 · Prediction</t>
        </is>
      </c>
      <c r="B13" s="13" t="inlineStr">
        <is>
          <t>5-trading-day momentum call with a volatility range; green only when it leans up</t>
        </is>
      </c>
    </row>
    <row r="14">
      <c r="A14" s="13" t="inlineStr">
        <is>
          <t>Check 4 · News</t>
        </is>
      </c>
      <c r="B14" s="13" t="inlineStr">
        <is>
          <t>Headlines in the last 72 hours scored for high-impact words against today's move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2026-10-24T11:44:39Z</dcterms:created>
  <dcterms:modified xsi:type="dcterms:W3CDTF">2026-10-24T11:44:39Z</dcterms:modified>
</cp:coreProperties>
</file>