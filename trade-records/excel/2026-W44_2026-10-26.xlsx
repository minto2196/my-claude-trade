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45" headerRowCount="1">
  <autoFilter ref="A1:BA45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41" headerRowCount="1">
  <autoFilter ref="A1:P41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46323.76866898148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46323.56033564815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COUNTIF(Orders!$E$2:$E$45,"BUY")+COUNTIF(Orders!$E$2:$E$45,"SELL")</f>
        <v/>
      </c>
    </row>
    <row r="9">
      <c r="A9" s="6" t="inlineStr">
        <is>
          <t>Buy orders</t>
        </is>
      </c>
      <c r="B9" s="7">
        <f>COUNTIF(Orders!$E$2:$E$45,"BUY")</f>
        <v/>
      </c>
    </row>
    <row r="10">
      <c r="A10" s="6" t="inlineStr">
        <is>
          <t>Sell orders</t>
        </is>
      </c>
      <c r="B10" s="7">
        <f>COUNTIF(Orders!$E$2:$E$45,"SELL")</f>
        <v/>
      </c>
    </row>
    <row r="11">
      <c r="A11" s="6" t="inlineStr">
        <is>
          <t>Filled orders</t>
        </is>
      </c>
      <c r="B11" s="7">
        <f>COUNTIF(Orders!$I$2:$I$45,"filled")</f>
        <v/>
      </c>
    </row>
    <row r="12">
      <c r="A12" s="6" t="inlineStr">
        <is>
          <t>Total bought $</t>
        </is>
      </c>
      <c r="B12" s="8">
        <f>SUMIFS(Orders!$L$2:$L$45,Orders!$E$2:$E$45,"BUY")</f>
        <v/>
      </c>
    </row>
    <row r="13">
      <c r="A13" s="6" t="inlineStr">
        <is>
          <t>Total sold $</t>
        </is>
      </c>
      <c r="B13" s="8">
        <f>SUMIFS(Orders!$L$2:$L$45,Orders!$E$2:$E$45,"SELL")</f>
        <v/>
      </c>
    </row>
    <row r="14">
      <c r="A14" s="6" t="inlineStr">
        <is>
          <t>Closed round trips</t>
        </is>
      </c>
      <c r="B14" s="7">
        <f>COUNTIF('Round trips'!$P$2:$P$41,"Closed")</f>
        <v/>
      </c>
    </row>
    <row r="15">
      <c r="A15" s="6" t="inlineStr">
        <is>
          <t>Open lots</t>
        </is>
      </c>
      <c r="B15" s="7">
        <f>COUNTIF('Round trips'!$P$2:$P$41,"Open")</f>
        <v/>
      </c>
    </row>
    <row r="16">
      <c r="A16" s="6" t="inlineStr">
        <is>
          <t>Realized P/L $</t>
        </is>
      </c>
      <c r="B16" s="9">
        <f>SUM('Round trips'!$L$2:$L$41)</f>
        <v/>
      </c>
    </row>
    <row r="17">
      <c r="A17" s="6" t="inlineStr">
        <is>
          <t>Winning round trips</t>
        </is>
      </c>
      <c r="B17" s="7">
        <f>COUNTIFS('Round trips'!$P$2:$P$41,"Closed",'Round trips'!$L$2:$L$41,"&gt;0")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4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/>
      <c r="I19" s="22" t="n"/>
      <c r="J19" s="17" t="n"/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n"/>
      <c r="P19" s="6" t="inlineStr">
        <is>
          <t>Open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/>
      <c r="I20" s="22" t="n"/>
      <c r="J20" s="17" t="n"/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n"/>
      <c r="P20" s="6" t="inlineStr">
        <is>
          <t>Open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/>
      <c r="I21" s="22" t="n"/>
      <c r="J21" s="17" t="n"/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n"/>
      <c r="P21" s="6" t="inlineStr">
        <is>
          <t>Open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/>
      <c r="I22" s="22" t="n"/>
      <c r="J22" s="17" t="n"/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n"/>
      <c r="P22" s="6" t="inlineStr">
        <is>
          <t>Open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/>
      <c r="I23" s="22" t="n"/>
      <c r="J23" s="17" t="n"/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n"/>
      <c r="P23" s="6" t="inlineStr">
        <is>
          <t>Open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/>
      <c r="I24" s="22" t="n"/>
      <c r="J24" s="17" t="n"/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n"/>
      <c r="P24" s="6" t="inlineStr">
        <is>
          <t>Open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/>
      <c r="I25" s="22" t="n"/>
      <c r="J25" s="17" t="n"/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n"/>
      <c r="P25" s="6" t="inlineStr">
        <is>
          <t>Open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/>
      <c r="I27" s="22" t="n"/>
      <c r="J27" s="17" t="n"/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n"/>
      <c r="P27" s="6" t="inlineStr">
        <is>
          <t>Open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/>
      <c r="I31" s="22" t="n"/>
      <c r="J31" s="17" t="n"/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n"/>
      <c r="P31" s="6" t="inlineStr">
        <is>
          <t>Open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/>
      <c r="I32" s="22" t="n"/>
      <c r="J32" s="17" t="n"/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n"/>
      <c r="P32" s="6" t="inlineStr">
        <is>
          <t>Open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/>
      <c r="I33" s="22" t="n"/>
      <c r="J33" s="17" t="n"/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n"/>
      <c r="P33" s="6" t="inlineStr">
        <is>
          <t>Open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/>
      <c r="I34" s="22" t="n"/>
      <c r="J34" s="17" t="n"/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n"/>
      <c r="P34" s="6" t="inlineStr">
        <is>
          <t>Open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/>
      <c r="I35" s="22" t="n"/>
      <c r="J35" s="17" t="n"/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n"/>
      <c r="P35" s="6" t="inlineStr">
        <is>
          <t>Open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/>
      <c r="I37" s="22" t="n"/>
      <c r="J37" s="17" t="n"/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n"/>
      <c r="P37" s="6" t="inlineStr">
        <is>
          <t>Open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0.114688452</v>
      </c>
      <c r="G38" s="17">
        <f>E38*F38</f>
        <v/>
      </c>
      <c r="H38" s="22" t="n"/>
      <c r="I38" s="22" t="n"/>
      <c r="J38" s="17" t="n"/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n"/>
      <c r="P38" s="6" t="inlineStr">
        <is>
          <t>Open</t>
        </is>
      </c>
    </row>
    <row r="39">
      <c r="A39" s="6" t="inlineStr">
        <is>
          <t>REGN</t>
        </is>
      </c>
      <c r="B39" s="6" t="inlineStr">
        <is>
          <t>Regeneron Pharmaceuticals, Inc. Common Stock</t>
        </is>
      </c>
      <c r="C39" s="22" t="n">
        <v>46323.72341435185</v>
      </c>
      <c r="D39" s="22" t="n">
        <v>46323.51508101852</v>
      </c>
      <c r="E39" s="17" t="n">
        <v>811.418</v>
      </c>
      <c r="F39" s="16" t="n">
        <v>0.083680667</v>
      </c>
      <c r="G39" s="17">
        <f>E39*F39</f>
        <v/>
      </c>
      <c r="H39" s="22" t="n">
        <v>46323.74836805555</v>
      </c>
      <c r="I39" s="22" t="n">
        <v>46323.54003472222</v>
      </c>
      <c r="J39" s="17" t="n">
        <v>812.398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3 green: sell half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0.083680668</v>
      </c>
      <c r="G40" s="17">
        <f>E40*F40</f>
        <v/>
      </c>
      <c r="H40" s="22" t="n"/>
      <c r="I40" s="22" t="n"/>
      <c r="J40" s="17" t="n"/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n"/>
      <c r="P40" s="6" t="inlineStr">
        <is>
          <t>Open</t>
        </is>
      </c>
    </row>
    <row r="41">
      <c r="A41" s="6" t="inlineStr">
        <is>
          <t>SO</t>
        </is>
      </c>
      <c r="B41" s="6" t="inlineStr">
        <is>
          <t>The Southern Company</t>
        </is>
      </c>
      <c r="C41" s="22" t="n">
        <v>46323.74836805555</v>
      </c>
      <c r="D41" s="22" t="n">
        <v>46323.54003472222</v>
      </c>
      <c r="E41" s="17" t="n">
        <v>92.318</v>
      </c>
      <c r="F41" s="16" t="n">
        <v>1.348382763</v>
      </c>
      <c r="G41" s="17">
        <f>E41*F41</f>
        <v/>
      </c>
      <c r="H41" s="22" t="n"/>
      <c r="I41" s="22" t="n"/>
      <c r="J41" s="17" t="n"/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n"/>
      <c r="P41" s="6" t="inlineStr">
        <is>
          <t>Open</t>
        </is>
      </c>
    </row>
  </sheetData>
  <conditionalFormatting sqref="L2:M41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2026-10-28T17:26:53Z</dcterms:created>
  <dcterms:modified xsi:type="dcterms:W3CDTF">2026-10-28T17:26:53Z</dcterms:modified>
</cp:coreProperties>
</file>