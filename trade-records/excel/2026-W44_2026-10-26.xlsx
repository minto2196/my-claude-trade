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136" headerRowCount="1">
  <autoFilter ref="A1:BA136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74" headerRowCount="1">
  <autoFilter ref="A1:P74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46324.85512731481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46324.64679398148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COUNTIF(Orders!$E$2:$E$136,"BUY")+COUNTIF(Orders!$E$2:$E$136,"SELL")</f>
        <v/>
      </c>
    </row>
    <row r="9">
      <c r="A9" s="6" t="inlineStr">
        <is>
          <t>Buy orders</t>
        </is>
      </c>
      <c r="B9" s="7">
        <f>COUNTIF(Orders!$E$2:$E$136,"BUY")</f>
        <v/>
      </c>
    </row>
    <row r="10">
      <c r="A10" s="6" t="inlineStr">
        <is>
          <t>Sell orders</t>
        </is>
      </c>
      <c r="B10" s="7">
        <f>COUNTIF(Orders!$E$2:$E$136,"SELL")</f>
        <v/>
      </c>
    </row>
    <row r="11">
      <c r="A11" s="6" t="inlineStr">
        <is>
          <t>Filled orders</t>
        </is>
      </c>
      <c r="B11" s="7">
        <f>COUNTIF(Orders!$I$2:$I$136,"filled")</f>
        <v/>
      </c>
    </row>
    <row r="12">
      <c r="A12" s="6" t="inlineStr">
        <is>
          <t>Total bought $</t>
        </is>
      </c>
      <c r="B12" s="8">
        <f>SUMIFS(Orders!$L$2:$L$136,Orders!$E$2:$E$136,"BUY")</f>
        <v/>
      </c>
    </row>
    <row r="13">
      <c r="A13" s="6" t="inlineStr">
        <is>
          <t>Total sold $</t>
        </is>
      </c>
      <c r="B13" s="8">
        <f>SUMIFS(Orders!$L$2:$L$136,Orders!$E$2:$E$136,"SELL")</f>
        <v/>
      </c>
    </row>
    <row r="14">
      <c r="A14" s="6" t="inlineStr">
        <is>
          <t>Closed round trips</t>
        </is>
      </c>
      <c r="B14" s="7">
        <f>COUNTIF('Round trips'!$P$2:$P$74,"Closed")</f>
        <v/>
      </c>
    </row>
    <row r="15">
      <c r="A15" s="6" t="inlineStr">
        <is>
          <t>Open lots</t>
        </is>
      </c>
      <c r="B15" s="7">
        <f>COUNTIF('Round trips'!$P$2:$P$74,"Open")</f>
        <v/>
      </c>
    </row>
    <row r="16">
      <c r="A16" s="6" t="inlineStr">
        <is>
          <t>Realized P/L $</t>
        </is>
      </c>
      <c r="B16" s="9">
        <f>SUM('Round trips'!$L$2:$L$74)</f>
        <v/>
      </c>
    </row>
    <row r="17">
      <c r="A17" s="6" t="inlineStr">
        <is>
          <t>Winning round trips</t>
        </is>
      </c>
      <c r="B17" s="7">
        <f>COUNTIFS('Round trips'!$P$2:$P$74,"Closed",'Round trips'!$L$2:$L$74,"&gt;0")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136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  <row r="42">
      <c r="A42" s="12" t="n">
        <v>41</v>
      </c>
      <c r="B42" s="13" t="n">
        <v>46323.72341435185</v>
      </c>
      <c r="C42" s="13" t="n">
        <v>46323.51508101852</v>
      </c>
      <c r="D42" s="13" t="n">
        <v>46323.68174768519</v>
      </c>
      <c r="E42" s="14" t="inlineStr">
        <is>
          <t>BUY</t>
        </is>
      </c>
      <c r="F42" s="6" t="inlineStr">
        <is>
          <t>REGN</t>
        </is>
      </c>
      <c r="G42" s="15" t="inlineStr">
        <is>
          <t>Regeneron Pharmaceuticals, Inc. Common Stock</t>
        </is>
      </c>
      <c r="H42" s="6" t="inlineStr">
        <is>
          <t>NASDAQ</t>
        </is>
      </c>
      <c r="I42" s="6" t="inlineStr">
        <is>
          <t>filled</t>
        </is>
      </c>
      <c r="J42" s="16" t="n">
        <v>0.167361335</v>
      </c>
      <c r="K42" s="17" t="n">
        <v>811.418</v>
      </c>
      <c r="L42" s="17">
        <f>IF(AND(ISNUMBER(J42),ISNUMBER(K42)),J42*K42,"")</f>
        <v/>
      </c>
      <c r="M42" s="17" t="n">
        <v>135.81</v>
      </c>
      <c r="N42" s="16" t="n"/>
      <c r="O42" s="6" t="inlineStr">
        <is>
          <t>4+/5 green</t>
        </is>
      </c>
      <c r="P42" s="15" t="inlineStr">
        <is>
          <t>5 of 5 green, time machine green, rank #4, 8.33% of the $1,630.38 free cash split 12 ways</t>
        </is>
      </c>
      <c r="Q42" s="12" t="n">
        <v>5</v>
      </c>
      <c r="R42" s="6" t="inlineStr">
        <is>
          <t>ok</t>
        </is>
      </c>
      <c r="S42" s="18" t="n">
        <v>0.59</v>
      </c>
      <c r="T42" s="12" t="n">
        <v>39</v>
      </c>
      <c r="U42" s="19" t="n">
        <v>0.0069</v>
      </c>
      <c r="V42" s="19" t="n">
        <v>-0.1395</v>
      </c>
      <c r="W42" s="12" t="n">
        <v>4</v>
      </c>
      <c r="X42" s="6" t="inlineStr">
        <is>
          <t>ok</t>
        </is>
      </c>
      <c r="Y42" s="19" t="n">
        <v>0</v>
      </c>
      <c r="Z42" s="6" t="inlineStr">
        <is>
          <t>ok</t>
        </is>
      </c>
      <c r="AA42" s="12" t="n">
        <v>100</v>
      </c>
      <c r="AB42" s="15" t="n"/>
      <c r="AC42" s="6" t="inlineStr">
        <is>
          <t>ok</t>
        </is>
      </c>
      <c r="AD42" s="6" t="inlineStr">
        <is>
          <t>up</t>
        </is>
      </c>
      <c r="AE42" s="17" t="n">
        <v>823.0616</v>
      </c>
      <c r="AF42" s="17" t="n">
        <v>791.8951</v>
      </c>
      <c r="AG42" s="17" t="n">
        <v>854.228</v>
      </c>
      <c r="AH42" s="20" t="n">
        <v>46330</v>
      </c>
      <c r="AI42" s="18" t="n">
        <v>0.53</v>
      </c>
      <c r="AJ42" s="6" t="inlineStr">
        <is>
          <t>ok</t>
        </is>
      </c>
      <c r="AK42" s="12" t="n">
        <v>4</v>
      </c>
      <c r="AL42" s="15" t="inlineStr">
        <is>
          <t>Evercore ISI Adjusts Price Target on Regeneron Pharmaceuticals to $850 From $900</t>
        </is>
      </c>
      <c r="AM42" s="17" t="n">
        <v>810.595</v>
      </c>
      <c r="AN42" s="19" t="n">
        <v>-0.0066</v>
      </c>
      <c r="AO42" s="17" t="n">
        <v>100130.89</v>
      </c>
      <c r="AP42" s="17" t="n">
        <v>1630.38</v>
      </c>
      <c r="AQ42" s="19" t="n">
        <v>0.0833</v>
      </c>
      <c r="AR42" s="16" t="n"/>
      <c r="AS42" s="17" t="n"/>
      <c r="AT42" s="19" t="n"/>
      <c r="AU42" s="6" t="inlineStr">
        <is>
          <t>paper</t>
        </is>
      </c>
      <c r="AV42" s="6" t="inlineStr">
        <is>
          <t>dda46246-83f4-40ff-853e-79415343124a</t>
        </is>
      </c>
      <c r="AW42" s="6" t="inlineStr">
        <is>
          <t>tdagent-buy-REGN-1793204503400</t>
        </is>
      </c>
      <c r="AX42" s="13" t="n">
        <v>46323.68174768519</v>
      </c>
      <c r="AY42" s="13" t="n">
        <v>46323.68174768519</v>
      </c>
      <c r="AZ42" s="13" t="n">
        <v>46323.68159722222</v>
      </c>
      <c r="BA42" s="6" t="n"/>
    </row>
    <row r="43">
      <c r="A43" s="12" t="n">
        <v>42</v>
      </c>
      <c r="B43" s="13" t="n">
        <v>46323.74836805555</v>
      </c>
      <c r="C43" s="13" t="n">
        <v>46323.54003472222</v>
      </c>
      <c r="D43" s="13" t="n">
        <v>46323.70670138889</v>
      </c>
      <c r="E43" s="21" t="inlineStr">
        <is>
          <t>SELL</t>
        </is>
      </c>
      <c r="F43" s="6" t="inlineStr">
        <is>
          <t>REGN</t>
        </is>
      </c>
      <c r="G43" s="15" t="inlineStr">
        <is>
          <t>REGN</t>
        </is>
      </c>
      <c r="H43" s="6" t="inlineStr">
        <is>
          <t>NASDAQ</t>
        </is>
      </c>
      <c r="I43" s="6" t="inlineStr">
        <is>
          <t>filled</t>
        </is>
      </c>
      <c r="J43" s="16" t="n">
        <v>0.083680667</v>
      </c>
      <c r="K43" s="17" t="n">
        <v>812.398</v>
      </c>
      <c r="L43" s="17">
        <f>IF(AND(ISNUMBER(J43),ISNUMBER(K43)),J43*K43,"")</f>
        <v/>
      </c>
      <c r="M43" s="17" t="n"/>
      <c r="N43" s="16" t="n">
        <v>0.083680667</v>
      </c>
      <c r="O43" s="6" t="inlineStr">
        <is>
          <t>3 green: sell half</t>
        </is>
      </c>
      <c r="P43" s="15" t="inlineStr">
        <is>
          <t>3 of 5 green: start selling (half)</t>
        </is>
      </c>
      <c r="Q43" s="12" t="n">
        <v>3</v>
      </c>
      <c r="R43" s="6" t="inlineStr">
        <is>
          <t>ok</t>
        </is>
      </c>
      <c r="S43" s="18" t="n">
        <v>0.59</v>
      </c>
      <c r="T43" s="12" t="n">
        <v>39</v>
      </c>
      <c r="U43" s="19" t="n">
        <v>0.0069</v>
      </c>
      <c r="V43" s="19" t="n">
        <v>-0.1395</v>
      </c>
      <c r="W43" s="12" t="n"/>
      <c r="X43" s="6" t="inlineStr">
        <is>
          <t>ok</t>
        </is>
      </c>
      <c r="Y43" s="19" t="n">
        <v>0.0005</v>
      </c>
      <c r="Z43" s="6" t="inlineStr">
        <is>
          <t>ok</t>
        </is>
      </c>
      <c r="AA43" s="12" t="n">
        <v>100</v>
      </c>
      <c r="AB43" s="15" t="n"/>
      <c r="AC43" s="6" t="inlineStr">
        <is>
          <t>watch</t>
        </is>
      </c>
      <c r="AD43" s="6" t="inlineStr">
        <is>
          <t>flat</t>
        </is>
      </c>
      <c r="AE43" s="17" t="n">
        <v>812.63</v>
      </c>
      <c r="AF43" s="17" t="n">
        <v>781.4143</v>
      </c>
      <c r="AG43" s="17" t="n">
        <v>843.8457</v>
      </c>
      <c r="AH43" s="20" t="n">
        <v>46330</v>
      </c>
      <c r="AI43" s="18" t="n">
        <v>0.5</v>
      </c>
      <c r="AJ43" s="6" t="inlineStr">
        <is>
          <t>watch</t>
        </is>
      </c>
      <c r="AK43" s="12" t="n">
        <v>8</v>
      </c>
      <c r="AL43" s="15" t="inlineStr">
        <is>
          <t>Evercore ISI Adjusts Price Target on Regeneron Pharmaceuticals to $850 From $900</t>
        </is>
      </c>
      <c r="AM43" s="17" t="n">
        <v>812.63</v>
      </c>
      <c r="AN43" s="19" t="n">
        <v>-0.004099999999999999</v>
      </c>
      <c r="AO43" s="17" t="n">
        <v>100128.62</v>
      </c>
      <c r="AP43" s="17" t="n">
        <v>1494.58</v>
      </c>
      <c r="AQ43" s="19" t="n">
        <v>0.0833</v>
      </c>
      <c r="AR43" s="16" t="n">
        <v>0.167361335</v>
      </c>
      <c r="AS43" s="17" t="n">
        <v>811.418</v>
      </c>
      <c r="AT43" s="19" t="n">
        <v>0.0016</v>
      </c>
      <c r="AU43" s="6" t="inlineStr">
        <is>
          <t>paper</t>
        </is>
      </c>
      <c r="AV43" s="6" t="inlineStr">
        <is>
          <t>69cfbe81-3a03-4c37-bc49-4bd1b9359e83</t>
        </is>
      </c>
      <c r="AW43" s="6" t="inlineStr">
        <is>
          <t>tdagent-sell-REGN-1793206659665</t>
        </is>
      </c>
      <c r="AX43" s="13" t="n">
        <v>46323.70670138889</v>
      </c>
      <c r="AY43" s="13" t="n">
        <v>46323.70670138889</v>
      </c>
      <c r="AZ43" s="13" t="n">
        <v>46323.7065625</v>
      </c>
      <c r="BA43" s="6" t="n"/>
    </row>
    <row r="44">
      <c r="A44" s="12" t="n">
        <v>43</v>
      </c>
      <c r="B44" s="13" t="n">
        <v>46323.74836805555</v>
      </c>
      <c r="C44" s="13" t="n">
        <v>46323.54003472222</v>
      </c>
      <c r="D44" s="13" t="n">
        <v>46323.70670138889</v>
      </c>
      <c r="E44" s="14" t="inlineStr">
        <is>
          <t>BUY</t>
        </is>
      </c>
      <c r="F44" s="6" t="inlineStr">
        <is>
          <t>SO</t>
        </is>
      </c>
      <c r="G44" s="15" t="inlineStr">
        <is>
          <t>The Southern Company</t>
        </is>
      </c>
      <c r="H44" s="6" t="inlineStr">
        <is>
          <t>NYSE</t>
        </is>
      </c>
      <c r="I44" s="6" t="inlineStr">
        <is>
          <t>filled</t>
        </is>
      </c>
      <c r="J44" s="16" t="n">
        <v>1.348382763</v>
      </c>
      <c r="K44" s="17" t="n">
        <v>92.318</v>
      </c>
      <c r="L44" s="17">
        <f>IF(AND(ISNUMBER(J44),ISNUMBER(K44)),J44*K44,"")</f>
        <v/>
      </c>
      <c r="M44" s="17" t="n">
        <v>124.49</v>
      </c>
      <c r="N44" s="16" t="n"/>
      <c r="O44" s="6" t="inlineStr">
        <is>
          <t>4+/5 green</t>
        </is>
      </c>
      <c r="P44" s="15" t="inlineStr">
        <is>
          <t>5 of 5 green, time machine green, rank #5, 8.33% of the $1,494.58 free cash split 12 ways</t>
        </is>
      </c>
      <c r="Q44" s="12" t="n">
        <v>5</v>
      </c>
      <c r="R44" s="6" t="inlineStr">
        <is>
          <t>ok</t>
        </is>
      </c>
      <c r="S44" s="18" t="n">
        <v>0.55</v>
      </c>
      <c r="T44" s="12" t="n">
        <v>20</v>
      </c>
      <c r="U44" s="19" t="n">
        <v>0.0009</v>
      </c>
      <c r="V44" s="19" t="n">
        <v>-0.1395</v>
      </c>
      <c r="W44" s="12" t="n">
        <v>5</v>
      </c>
      <c r="X44" s="6" t="inlineStr">
        <is>
          <t>ok</t>
        </is>
      </c>
      <c r="Y44" s="19" t="n">
        <v>0.006999999999999999</v>
      </c>
      <c r="Z44" s="6" t="inlineStr">
        <is>
          <t>ok</t>
        </is>
      </c>
      <c r="AA44" s="12" t="n">
        <v>80</v>
      </c>
      <c r="AB44" s="15" t="inlineStr">
        <is>
          <t>One day (+3.8%) did 114% of the 10-day move. The trend rests on a single jump.</t>
        </is>
      </c>
      <c r="AC44" s="6" t="inlineStr">
        <is>
          <t>ok</t>
        </is>
      </c>
      <c r="AD44" s="6" t="inlineStr">
        <is>
          <t>up</t>
        </is>
      </c>
      <c r="AE44" s="17" t="n">
        <v>93.197</v>
      </c>
      <c r="AF44" s="17" t="n">
        <v>91.0295</v>
      </c>
      <c r="AG44" s="17" t="n">
        <v>95.3644</v>
      </c>
      <c r="AH44" s="20" t="n">
        <v>46330</v>
      </c>
      <c r="AI44" s="18" t="n">
        <v>0.5600000000000001</v>
      </c>
      <c r="AJ44" s="6" t="inlineStr">
        <is>
          <t>ok</t>
        </is>
      </c>
      <c r="AK44" s="12" t="n">
        <v>2</v>
      </c>
      <c r="AL44" s="15" t="inlineStr">
        <is>
          <t>RBC Capital Adjusts Southern Company Price Target</t>
        </is>
      </c>
      <c r="AM44" s="17" t="n">
        <v>92.33</v>
      </c>
      <c r="AN44" s="19" t="n">
        <v>-0.0034</v>
      </c>
      <c r="AO44" s="17" t="n">
        <v>100128.62</v>
      </c>
      <c r="AP44" s="17" t="n">
        <v>1494.58</v>
      </c>
      <c r="AQ44" s="19" t="n">
        <v>0.0833</v>
      </c>
      <c r="AR44" s="16" t="n"/>
      <c r="AS44" s="17" t="n"/>
      <c r="AT44" s="19" t="n"/>
      <c r="AU44" s="6" t="inlineStr">
        <is>
          <t>paper</t>
        </is>
      </c>
      <c r="AV44" s="6" t="inlineStr">
        <is>
          <t>84055f04-f1e8-4f84-b3d3-5c199cf649b6</t>
        </is>
      </c>
      <c r="AW44" s="6" t="inlineStr">
        <is>
          <t>tdagent-buy-SO-1793206659765</t>
        </is>
      </c>
      <c r="AX44" s="13" t="n">
        <v>46323.70670138889</v>
      </c>
      <c r="AY44" s="13" t="n">
        <v>46323.70670138889</v>
      </c>
      <c r="AZ44" s="13" t="n">
        <v>46323.7065625</v>
      </c>
      <c r="BA44" s="6" t="n"/>
    </row>
    <row r="45">
      <c r="A45" s="12" t="n">
        <v>44</v>
      </c>
      <c r="B45" s="13" t="n">
        <v>46323.76857638889</v>
      </c>
      <c r="C45" s="13" t="n">
        <v>46323.56024305556</v>
      </c>
      <c r="D45" s="13" t="n">
        <v>46323.72690972222</v>
      </c>
      <c r="E45" s="21" t="inlineStr">
        <is>
          <t>SELL</t>
        </is>
      </c>
      <c r="F45" s="6" t="inlineStr">
        <is>
          <t>CNC</t>
        </is>
      </c>
      <c r="G45" s="15" t="inlineStr">
        <is>
          <t>CNC</t>
        </is>
      </c>
      <c r="H45" s="6" t="inlineStr">
        <is>
          <t>NYSE</t>
        </is>
      </c>
      <c r="I45" s="6" t="inlineStr">
        <is>
          <t>filled</t>
        </is>
      </c>
      <c r="J45" s="16" t="n">
        <v>7.590071128</v>
      </c>
      <c r="K45" s="17" t="n">
        <v>67.72</v>
      </c>
      <c r="L45" s="17">
        <f>IF(AND(ISNUMBER(J45),ISNUMBER(K45)),J45*K45,"")</f>
        <v/>
      </c>
      <c r="M45" s="17" t="n"/>
      <c r="N45" s="16" t="n">
        <v>7.590071128</v>
      </c>
      <c r="O45" s="6" t="inlineStr">
        <is>
          <t>2 or fewer green</t>
        </is>
      </c>
      <c r="P45" s="15" t="inlineStr">
        <is>
          <t>Only 2 of 5 green</t>
        </is>
      </c>
      <c r="Q45" s="12" t="n">
        <v>2</v>
      </c>
      <c r="R45" s="6" t="inlineStr">
        <is>
          <t>ok</t>
        </is>
      </c>
      <c r="S45" s="18" t="n">
        <v>0.5679999999999999</v>
      </c>
      <c r="T45" s="12" t="n">
        <v>44</v>
      </c>
      <c r="U45" s="19" t="n">
        <v>0.0126</v>
      </c>
      <c r="V45" s="19" t="n">
        <v>-0.1395</v>
      </c>
      <c r="W45" s="12" t="n"/>
      <c r="X45" s="6" t="inlineStr">
        <is>
          <t>watch</t>
        </is>
      </c>
      <c r="Y45" s="19" t="n">
        <v>0.0083</v>
      </c>
      <c r="Z45" s="6" t="inlineStr">
        <is>
          <t>ok</t>
        </is>
      </c>
      <c r="AA45" s="12" t="n">
        <v>100</v>
      </c>
      <c r="AB45" s="15" t="n"/>
      <c r="AC45" s="6" t="inlineStr">
        <is>
          <t>watch</t>
        </is>
      </c>
      <c r="AD45" s="6" t="inlineStr">
        <is>
          <t>flat</t>
        </is>
      </c>
      <c r="AE45" s="17" t="n">
        <v>67.675</v>
      </c>
      <c r="AF45" s="17" t="n">
        <v>64.496</v>
      </c>
      <c r="AG45" s="17" t="n">
        <v>70.854</v>
      </c>
      <c r="AH45" s="20" t="n">
        <v>46330</v>
      </c>
      <c r="AI45" s="18" t="n">
        <v>0.5</v>
      </c>
      <c r="AJ45" s="6" t="inlineStr">
        <is>
          <t>watch</t>
        </is>
      </c>
      <c r="AK45" s="12" t="n">
        <v>10</v>
      </c>
      <c r="AL45" s="15" t="inlineStr">
        <is>
          <t>Cantor Fitzgerald Upgrades Centene to Overweight and Raises Price Target to $79</t>
        </is>
      </c>
      <c r="AM45" s="17" t="n">
        <v>67.675</v>
      </c>
      <c r="AN45" s="19" t="n">
        <v>-0.0164</v>
      </c>
      <c r="AO45" s="17" t="n">
        <v>100241.95</v>
      </c>
      <c r="AP45" s="17" t="n">
        <v>1438.08</v>
      </c>
      <c r="AQ45" s="19" t="n">
        <v>0.0833</v>
      </c>
      <c r="AR45" s="16" t="n">
        <v>7.590071128</v>
      </c>
      <c r="AS45" s="17" t="n">
        <v>68.89</v>
      </c>
      <c r="AT45" s="19" t="n">
        <v>-0.017</v>
      </c>
      <c r="AU45" s="6" t="inlineStr">
        <is>
          <t>paper</t>
        </is>
      </c>
      <c r="AV45" s="6" t="inlineStr">
        <is>
          <t>7ff433f1-3689-4c21-b29e-7b59fcb42089</t>
        </is>
      </c>
      <c r="AW45" s="6" t="inlineStr">
        <is>
          <t>tdagent-sell-CNC-1793208403624</t>
        </is>
      </c>
      <c r="AX45" s="13" t="n">
        <v>46323.72688657408</v>
      </c>
      <c r="AY45" s="13" t="n">
        <v>46323.72690972222</v>
      </c>
      <c r="AZ45" s="13" t="n">
        <v>46323.72672453704</v>
      </c>
      <c r="BA45" s="6" t="n"/>
    </row>
    <row r="46">
      <c r="A46" s="12" t="n">
        <v>45</v>
      </c>
      <c r="B46" s="13" t="n">
        <v>46323.82612268518</v>
      </c>
      <c r="C46" s="13" t="n">
        <v>46323.61778935185</v>
      </c>
      <c r="D46" s="13" t="n">
        <v>46323.78445601852</v>
      </c>
      <c r="E46" s="21" t="inlineStr">
        <is>
          <t>SELL</t>
        </is>
      </c>
      <c r="F46" s="6" t="inlineStr">
        <is>
          <t>LLY</t>
        </is>
      </c>
      <c r="G46" s="15" t="inlineStr">
        <is>
          <t>LLY</t>
        </is>
      </c>
      <c r="H46" s="6" t="inlineStr">
        <is>
          <t>NYSE</t>
        </is>
      </c>
      <c r="I46" s="6" t="inlineStr">
        <is>
          <t>filled</t>
        </is>
      </c>
      <c r="J46" s="16" t="n">
        <v>0.057344226</v>
      </c>
      <c r="K46" s="17" t="n">
        <v>1291.566</v>
      </c>
      <c r="L46" s="17">
        <f>IF(AND(ISNUMBER(J46),ISNUMBER(K46)),J46*K46,"")</f>
        <v/>
      </c>
      <c r="M46" s="17" t="n"/>
      <c r="N46" s="16" t="n">
        <v>0.057344226</v>
      </c>
      <c r="O46" s="6" t="inlineStr">
        <is>
          <t>3 green: sell half</t>
        </is>
      </c>
      <c r="P46" s="15" t="inlineStr">
        <is>
          <t>3 of 5 green: start selling (half)</t>
        </is>
      </c>
      <c r="Q46" s="12" t="n">
        <v>3</v>
      </c>
      <c r="R46" s="6" t="inlineStr">
        <is>
          <t>ok</t>
        </is>
      </c>
      <c r="S46" s="18" t="n">
        <v>0.574</v>
      </c>
      <c r="T46" s="12" t="n">
        <v>68</v>
      </c>
      <c r="U46" s="19" t="n">
        <v>0.0075</v>
      </c>
      <c r="V46" s="19" t="n">
        <v>-0.1395</v>
      </c>
      <c r="W46" s="12" t="n"/>
      <c r="X46" s="6" t="inlineStr">
        <is>
          <t>watch</t>
        </is>
      </c>
      <c r="Y46" s="19" t="n">
        <v>0.008</v>
      </c>
      <c r="Z46" s="6" t="inlineStr">
        <is>
          <t>ok</t>
        </is>
      </c>
      <c r="AA46" s="12" t="n">
        <v>100</v>
      </c>
      <c r="AB46" s="15" t="n"/>
      <c r="AC46" s="6" t="inlineStr">
        <is>
          <t>ok</t>
        </is>
      </c>
      <c r="AD46" s="6" t="inlineStr">
        <is>
          <t>up</t>
        </is>
      </c>
      <c r="AE46" s="17" t="n">
        <v>1313.054</v>
      </c>
      <c r="AF46" s="17" t="n">
        <v>1260.219</v>
      </c>
      <c r="AG46" s="17" t="n">
        <v>1365.889</v>
      </c>
      <c r="AH46" s="20" t="n">
        <v>46330</v>
      </c>
      <c r="AI46" s="18" t="n">
        <v>0.55</v>
      </c>
      <c r="AJ46" s="6" t="inlineStr">
        <is>
          <t>watch</t>
        </is>
      </c>
      <c r="AK46" s="12" t="n">
        <v>10</v>
      </c>
      <c r="AL46" s="15" t="inlineStr">
        <is>
          <t>Top Wall Street Forecasters Revamp Eli Lilly Expectations Ahead Of Q3 Earnings</t>
        </is>
      </c>
      <c r="AM46" s="17" t="n">
        <v>1291.92</v>
      </c>
      <c r="AN46" s="19" t="n">
        <v>0.008100000000000001</v>
      </c>
      <c r="AO46" s="17" t="n">
        <v>100349.98</v>
      </c>
      <c r="AP46" s="17" t="n">
        <v>1952.08</v>
      </c>
      <c r="AQ46" s="19" t="n">
        <v>0.0833</v>
      </c>
      <c r="AR46" s="16" t="n">
        <v>0.114688452</v>
      </c>
      <c r="AS46" s="17" t="n">
        <v>1291.586</v>
      </c>
      <c r="AT46" s="19" t="n">
        <v>0.0002</v>
      </c>
      <c r="AU46" s="6" t="inlineStr">
        <is>
          <t>paper</t>
        </is>
      </c>
      <c r="AV46" s="6" t="inlineStr">
        <is>
          <t>f363e653-14b2-4970-9a58-3eb3ffaf679d</t>
        </is>
      </c>
      <c r="AW46" s="6" t="inlineStr">
        <is>
          <t>tdagent-sell-LLY-1793213377714</t>
        </is>
      </c>
      <c r="AX46" s="13" t="n">
        <v>46323.78445601852</v>
      </c>
      <c r="AY46" s="13" t="n">
        <v>46323.78445601852</v>
      </c>
      <c r="AZ46" s="13" t="n">
        <v>46323.78435185185</v>
      </c>
      <c r="BA46" s="6" t="n"/>
    </row>
    <row r="47">
      <c r="A47" s="12" t="n">
        <v>46</v>
      </c>
      <c r="B47" s="13" t="n">
        <v>46323.85436342593</v>
      </c>
      <c r="C47" s="13" t="n">
        <v>46323.64603009259</v>
      </c>
      <c r="D47" s="13" t="n">
        <v>46323.81269675926</v>
      </c>
      <c r="E47" s="21" t="inlineStr">
        <is>
          <t>SELL</t>
        </is>
      </c>
      <c r="F47" s="6" t="inlineStr">
        <is>
          <t>ABBV</t>
        </is>
      </c>
      <c r="G47" s="15" t="n"/>
      <c r="H47" s="6" t="n"/>
      <c r="I47" s="6" t="inlineStr">
        <is>
          <t>filled</t>
        </is>
      </c>
      <c r="J47" s="16" t="n">
        <v>3.63060686</v>
      </c>
      <c r="K47" s="17" t="n">
        <v>286.66</v>
      </c>
      <c r="L47" s="17">
        <f>IF(AND(ISNUMBER(J47),ISNUMBER(K47)),J47*K47,"")</f>
        <v/>
      </c>
      <c r="M47" s="17" t="n"/>
      <c r="N47" s="16" t="n">
        <v>3.63060686</v>
      </c>
      <c r="O47" s="6" t="inlineStr">
        <is>
          <t>evening under 5% (watchdog)</t>
        </is>
      </c>
      <c r="P47" s="15" t="inlineStr">
        <is>
          <t>Every-minute watchdog: evening rule, under +5% before the close</t>
        </is>
      </c>
      <c r="Q47" s="12" t="n"/>
      <c r="R47" s="6" t="n"/>
      <c r="S47" s="18" t="n"/>
      <c r="T47" s="12" t="n"/>
      <c r="U47" s="19" t="n"/>
      <c r="V47" s="19" t="n"/>
      <c r="W47" s="12" t="n"/>
      <c r="X47" s="6" t="n"/>
      <c r="Y47" s="19" t="n"/>
      <c r="Z47" s="6" t="n"/>
      <c r="AA47" s="12" t="n"/>
      <c r="AB47" s="15" t="n"/>
      <c r="AC47" s="6" t="n"/>
      <c r="AD47" s="6" t="n"/>
      <c r="AE47" s="17" t="n"/>
      <c r="AF47" s="17" t="n"/>
      <c r="AG47" s="17" t="n"/>
      <c r="AH47" s="20" t="n"/>
      <c r="AI47" s="18" t="n"/>
      <c r="AJ47" s="6" t="n"/>
      <c r="AK47" s="12" t="n"/>
      <c r="AL47" s="15" t="n"/>
      <c r="AM47" s="17" t="n"/>
      <c r="AN47" s="19" t="n"/>
      <c r="AO47" s="17" t="n"/>
      <c r="AP47" s="17" t="n"/>
      <c r="AQ47" s="19" t="n"/>
      <c r="AR47" s="16" t="n"/>
      <c r="AS47" s="17" t="n"/>
      <c r="AT47" s="19" t="n"/>
      <c r="AU47" s="6" t="inlineStr">
        <is>
          <t>paper</t>
        </is>
      </c>
      <c r="AV47" s="6" t="inlineStr">
        <is>
          <t>ecdb68eb-fd99-4135-a88a-1eec26aaa8a3</t>
        </is>
      </c>
      <c r="AW47" s="6" t="inlineStr">
        <is>
          <t>tdagent-wd-evening-ABBV-1793215815607</t>
        </is>
      </c>
      <c r="AX47" s="13" t="n">
        <v>46323.81267361111</v>
      </c>
      <c r="AY47" s="13" t="n">
        <v>46323.81269675926</v>
      </c>
      <c r="AZ47" s="13" t="n"/>
      <c r="BA47" s="6" t="n"/>
    </row>
    <row r="48">
      <c r="A48" s="12" t="n">
        <v>47</v>
      </c>
      <c r="B48" s="13" t="n">
        <v>46323.854375</v>
      </c>
      <c r="C48" s="13" t="n">
        <v>46323.64604166667</v>
      </c>
      <c r="D48" s="13" t="n">
        <v>46323.81270833333</v>
      </c>
      <c r="E48" s="21" t="inlineStr">
        <is>
          <t>SELL</t>
        </is>
      </c>
      <c r="F48" s="6" t="inlineStr">
        <is>
          <t>ADI</t>
        </is>
      </c>
      <c r="G48" s="15" t="n"/>
      <c r="H48" s="6" t="n"/>
      <c r="I48" s="6" t="inlineStr">
        <is>
          <t>filled</t>
        </is>
      </c>
      <c r="J48" s="16" t="n">
        <v>2.460611764</v>
      </c>
      <c r="K48" s="17" t="n">
        <v>426.02</v>
      </c>
      <c r="L48" s="17">
        <f>IF(AND(ISNUMBER(J48),ISNUMBER(K48)),J48*K48,"")</f>
        <v/>
      </c>
      <c r="M48" s="17" t="n"/>
      <c r="N48" s="16" t="n">
        <v>2.460611764</v>
      </c>
      <c r="O48" s="6" t="inlineStr">
        <is>
          <t>evening under 5% (watchdog)</t>
        </is>
      </c>
      <c r="P48" s="15" t="inlineStr">
        <is>
          <t>Every-minute watchdog: evening rule, under +5% before the close</t>
        </is>
      </c>
      <c r="Q48" s="12" t="n"/>
      <c r="R48" s="6" t="n"/>
      <c r="S48" s="18" t="n"/>
      <c r="T48" s="12" t="n"/>
      <c r="U48" s="19" t="n"/>
      <c r="V48" s="19" t="n"/>
      <c r="W48" s="12" t="n"/>
      <c r="X48" s="6" t="n"/>
      <c r="Y48" s="19" t="n"/>
      <c r="Z48" s="6" t="n"/>
      <c r="AA48" s="12" t="n"/>
      <c r="AB48" s="15" t="n"/>
      <c r="AC48" s="6" t="n"/>
      <c r="AD48" s="6" t="n"/>
      <c r="AE48" s="17" t="n"/>
      <c r="AF48" s="17" t="n"/>
      <c r="AG48" s="17" t="n"/>
      <c r="AH48" s="20" t="n"/>
      <c r="AI48" s="18" t="n"/>
      <c r="AJ48" s="6" t="n"/>
      <c r="AK48" s="12" t="n"/>
      <c r="AL48" s="15" t="n"/>
      <c r="AM48" s="17" t="n"/>
      <c r="AN48" s="19" t="n"/>
      <c r="AO48" s="17" t="n"/>
      <c r="AP48" s="17" t="n"/>
      <c r="AQ48" s="19" t="n"/>
      <c r="AR48" s="16" t="n"/>
      <c r="AS48" s="17" t="n"/>
      <c r="AT48" s="19" t="n"/>
      <c r="AU48" s="6" t="inlineStr">
        <is>
          <t>paper</t>
        </is>
      </c>
      <c r="AV48" s="6" t="inlineStr">
        <is>
          <t>c9c245bf-f10e-4860-8dbd-030c02ab0556</t>
        </is>
      </c>
      <c r="AW48" s="6" t="inlineStr">
        <is>
          <t>tdagent-wd-evening-ADI-1793215816980</t>
        </is>
      </c>
      <c r="AX48" s="13" t="n">
        <v>46323.81269675926</v>
      </c>
      <c r="AY48" s="13" t="n">
        <v>46323.81270833333</v>
      </c>
      <c r="AZ48" s="13" t="n"/>
      <c r="BA48" s="6" t="n"/>
    </row>
    <row r="49">
      <c r="A49" s="12" t="n">
        <v>48</v>
      </c>
      <c r="B49" s="13" t="n">
        <v>46323.85439814815</v>
      </c>
      <c r="C49" s="13" t="n">
        <v>46323.64606481481</v>
      </c>
      <c r="D49" s="13" t="n">
        <v>46323.81273148148</v>
      </c>
      <c r="E49" s="21" t="inlineStr">
        <is>
          <t>SELL</t>
        </is>
      </c>
      <c r="F49" s="6" t="inlineStr">
        <is>
          <t>CBOE</t>
        </is>
      </c>
      <c r="G49" s="15" t="n"/>
      <c r="H49" s="6" t="n"/>
      <c r="I49" s="6" t="inlineStr">
        <is>
          <t>filled</t>
        </is>
      </c>
      <c r="J49" s="16" t="n">
        <v>25.834717916</v>
      </c>
      <c r="K49" s="17" t="n">
        <v>322.32659</v>
      </c>
      <c r="L49" s="17">
        <f>IF(AND(ISNUMBER(J49),ISNUMBER(K49)),J49*K49,"")</f>
        <v/>
      </c>
      <c r="M49" s="17" t="n"/>
      <c r="N49" s="16" t="n">
        <v>25.834717916</v>
      </c>
      <c r="O49" s="6" t="inlineStr">
        <is>
          <t>evening under 5% (watchdog)</t>
        </is>
      </c>
      <c r="P49" s="15" t="inlineStr">
        <is>
          <t>Every-minute watchdog: evening rule, under +5% before the close</t>
        </is>
      </c>
      <c r="Q49" s="12" t="n"/>
      <c r="R49" s="6" t="n"/>
      <c r="S49" s="18" t="n"/>
      <c r="T49" s="12" t="n"/>
      <c r="U49" s="19" t="n"/>
      <c r="V49" s="19" t="n"/>
      <c r="W49" s="12" t="n"/>
      <c r="X49" s="6" t="n"/>
      <c r="Y49" s="19" t="n"/>
      <c r="Z49" s="6" t="n"/>
      <c r="AA49" s="12" t="n"/>
      <c r="AB49" s="15" t="n"/>
      <c r="AC49" s="6" t="n"/>
      <c r="AD49" s="6" t="n"/>
      <c r="AE49" s="17" t="n"/>
      <c r="AF49" s="17" t="n"/>
      <c r="AG49" s="17" t="n"/>
      <c r="AH49" s="20" t="n"/>
      <c r="AI49" s="18" t="n"/>
      <c r="AJ49" s="6" t="n"/>
      <c r="AK49" s="12" t="n"/>
      <c r="AL49" s="15" t="n"/>
      <c r="AM49" s="17" t="n"/>
      <c r="AN49" s="19" t="n"/>
      <c r="AO49" s="17" t="n"/>
      <c r="AP49" s="17" t="n"/>
      <c r="AQ49" s="19" t="n"/>
      <c r="AR49" s="16" t="n"/>
      <c r="AS49" s="17" t="n"/>
      <c r="AT49" s="19" t="n"/>
      <c r="AU49" s="6" t="inlineStr">
        <is>
          <t>paper</t>
        </is>
      </c>
      <c r="AV49" s="6" t="inlineStr">
        <is>
          <t>348491cc-58de-42d7-8c1f-65813f0e1722</t>
        </is>
      </c>
      <c r="AW49" s="6" t="inlineStr">
        <is>
          <t>tdagent-wd-evening-CBOE-1793215818325</t>
        </is>
      </c>
      <c r="AX49" s="13" t="n">
        <v>46323.81270833333</v>
      </c>
      <c r="AY49" s="13" t="n">
        <v>46323.81273148148</v>
      </c>
      <c r="AZ49" s="13" t="n"/>
      <c r="BA49" s="6" t="n"/>
    </row>
    <row r="50">
      <c r="A50" s="12" t="n">
        <v>49</v>
      </c>
      <c r="B50" s="13" t="n">
        <v>46323.8544212963</v>
      </c>
      <c r="C50" s="13" t="n">
        <v>46323.64608796296</v>
      </c>
      <c r="D50" s="13" t="n">
        <v>46323.81275462963</v>
      </c>
      <c r="E50" s="21" t="inlineStr">
        <is>
          <t>SELL</t>
        </is>
      </c>
      <c r="F50" s="6" t="inlineStr">
        <is>
          <t>CTSH</t>
        </is>
      </c>
      <c r="G50" s="15" t="n"/>
      <c r="H50" s="6" t="n"/>
      <c r="I50" s="6" t="inlineStr">
        <is>
          <t>filled</t>
        </is>
      </c>
      <c r="J50" s="16" t="n">
        <v>15.713899323</v>
      </c>
      <c r="K50" s="17" t="n">
        <v>66.09999999999999</v>
      </c>
      <c r="L50" s="17">
        <f>IF(AND(ISNUMBER(J50),ISNUMBER(K50)),J50*K50,"")</f>
        <v/>
      </c>
      <c r="M50" s="17" t="n"/>
      <c r="N50" s="16" t="n">
        <v>15.713899323</v>
      </c>
      <c r="O50" s="6" t="inlineStr">
        <is>
          <t>evening under 5% (watchdog)</t>
        </is>
      </c>
      <c r="P50" s="15" t="inlineStr">
        <is>
          <t>Every-minute watchdog: evening rule, under +5% before the close</t>
        </is>
      </c>
      <c r="Q50" s="12" t="n"/>
      <c r="R50" s="6" t="n"/>
      <c r="S50" s="18" t="n"/>
      <c r="T50" s="12" t="n"/>
      <c r="U50" s="19" t="n"/>
      <c r="V50" s="19" t="n"/>
      <c r="W50" s="12" t="n"/>
      <c r="X50" s="6" t="n"/>
      <c r="Y50" s="19" t="n"/>
      <c r="Z50" s="6" t="n"/>
      <c r="AA50" s="12" t="n"/>
      <c r="AB50" s="15" t="n"/>
      <c r="AC50" s="6" t="n"/>
      <c r="AD50" s="6" t="n"/>
      <c r="AE50" s="17" t="n"/>
      <c r="AF50" s="17" t="n"/>
      <c r="AG50" s="17" t="n"/>
      <c r="AH50" s="20" t="n"/>
      <c r="AI50" s="18" t="n"/>
      <c r="AJ50" s="6" t="n"/>
      <c r="AK50" s="12" t="n"/>
      <c r="AL50" s="15" t="n"/>
      <c r="AM50" s="17" t="n"/>
      <c r="AN50" s="19" t="n"/>
      <c r="AO50" s="17" t="n"/>
      <c r="AP50" s="17" t="n"/>
      <c r="AQ50" s="19" t="n"/>
      <c r="AR50" s="16" t="n"/>
      <c r="AS50" s="17" t="n"/>
      <c r="AT50" s="19" t="n"/>
      <c r="AU50" s="6" t="inlineStr">
        <is>
          <t>paper</t>
        </is>
      </c>
      <c r="AV50" s="6" t="inlineStr">
        <is>
          <t>2325c275-144c-4627-9a2a-204c654b3f61</t>
        </is>
      </c>
      <c r="AW50" s="6" t="inlineStr">
        <is>
          <t>tdagent-wd-evening-CTSH-1793215819690</t>
        </is>
      </c>
      <c r="AX50" s="13" t="n">
        <v>46323.81271990741</v>
      </c>
      <c r="AY50" s="13" t="n">
        <v>46323.81275462963</v>
      </c>
      <c r="AZ50" s="13" t="n"/>
      <c r="BA50" s="6" t="n"/>
    </row>
    <row r="51">
      <c r="A51" s="12" t="n">
        <v>50</v>
      </c>
      <c r="B51" s="13" t="n">
        <v>46323.85440972223</v>
      </c>
      <c r="C51" s="13" t="n">
        <v>46323.64607638889</v>
      </c>
      <c r="D51" s="13" t="n">
        <v>46323.81274305555</v>
      </c>
      <c r="E51" s="21" t="inlineStr">
        <is>
          <t>SELL</t>
        </is>
      </c>
      <c r="F51" s="6" t="inlineStr">
        <is>
          <t>DINO</t>
        </is>
      </c>
      <c r="G51" s="15" t="n"/>
      <c r="H51" s="6" t="n"/>
      <c r="I51" s="6" t="inlineStr">
        <is>
          <t>filled</t>
        </is>
      </c>
      <c r="J51" s="16" t="n">
        <v>0.486970655</v>
      </c>
      <c r="K51" s="17" t="n">
        <v>113.556</v>
      </c>
      <c r="L51" s="17">
        <f>IF(AND(ISNUMBER(J51),ISNUMBER(K51)),J51*K51,"")</f>
        <v/>
      </c>
      <c r="M51" s="17" t="n"/>
      <c r="N51" s="16" t="n">
        <v>0.486970655</v>
      </c>
      <c r="O51" s="6" t="inlineStr">
        <is>
          <t>evening under 5% (watchdog)</t>
        </is>
      </c>
      <c r="P51" s="15" t="inlineStr">
        <is>
          <t>Every-minute watchdog: evening rule, under +5% before the close</t>
        </is>
      </c>
      <c r="Q51" s="12" t="n"/>
      <c r="R51" s="6" t="n"/>
      <c r="S51" s="18" t="n"/>
      <c r="T51" s="12" t="n"/>
      <c r="U51" s="19" t="n"/>
      <c r="V51" s="19" t="n"/>
      <c r="W51" s="12" t="n"/>
      <c r="X51" s="6" t="n"/>
      <c r="Y51" s="19" t="n"/>
      <c r="Z51" s="6" t="n"/>
      <c r="AA51" s="12" t="n"/>
      <c r="AB51" s="15" t="n"/>
      <c r="AC51" s="6" t="n"/>
      <c r="AD51" s="6" t="n"/>
      <c r="AE51" s="17" t="n"/>
      <c r="AF51" s="17" t="n"/>
      <c r="AG51" s="17" t="n"/>
      <c r="AH51" s="20" t="n"/>
      <c r="AI51" s="18" t="n"/>
      <c r="AJ51" s="6" t="n"/>
      <c r="AK51" s="12" t="n"/>
      <c r="AL51" s="15" t="n"/>
      <c r="AM51" s="17" t="n"/>
      <c r="AN51" s="19" t="n"/>
      <c r="AO51" s="17" t="n"/>
      <c r="AP51" s="17" t="n"/>
      <c r="AQ51" s="19" t="n"/>
      <c r="AR51" s="16" t="n"/>
      <c r="AS51" s="17" t="n"/>
      <c r="AT51" s="19" t="n"/>
      <c r="AU51" s="6" t="inlineStr">
        <is>
          <t>paper</t>
        </is>
      </c>
      <c r="AV51" s="6" t="inlineStr">
        <is>
          <t>bbf19542-ad5d-4daf-99e4-e0780f5cba3c</t>
        </is>
      </c>
      <c r="AW51" s="6" t="inlineStr">
        <is>
          <t>tdagent-wd-evening-DINO-1793215821053</t>
        </is>
      </c>
      <c r="AX51" s="13" t="n">
        <v>46323.81274305555</v>
      </c>
      <c r="AY51" s="13" t="n">
        <v>46323.81274305555</v>
      </c>
      <c r="AZ51" s="13" t="n"/>
      <c r="BA51" s="6" t="n"/>
    </row>
    <row r="52">
      <c r="A52" s="12" t="n">
        <v>51</v>
      </c>
      <c r="B52" s="13" t="n">
        <v>46323.85445601852</v>
      </c>
      <c r="C52" s="13" t="n">
        <v>46323.64612268518</v>
      </c>
      <c r="D52" s="13" t="n">
        <v>46323.81278935185</v>
      </c>
      <c r="E52" s="21" t="inlineStr">
        <is>
          <t>SELL</t>
        </is>
      </c>
      <c r="F52" s="6" t="inlineStr">
        <is>
          <t>DT</t>
        </is>
      </c>
      <c r="G52" s="15" t="n"/>
      <c r="H52" s="6" t="n"/>
      <c r="I52" s="6" t="inlineStr">
        <is>
          <t>filled</t>
        </is>
      </c>
      <c r="J52" s="16" t="n">
        <v>130.2953125</v>
      </c>
      <c r="K52" s="17" t="n">
        <v>62.591634</v>
      </c>
      <c r="L52" s="17">
        <f>IF(AND(ISNUMBER(J52),ISNUMBER(K52)),J52*K52,"")</f>
        <v/>
      </c>
      <c r="M52" s="17" t="n"/>
      <c r="N52" s="16" t="n">
        <v>130.2953125</v>
      </c>
      <c r="O52" s="6" t="inlineStr">
        <is>
          <t>evening under 5% (watchdog)</t>
        </is>
      </c>
      <c r="P52" s="15" t="inlineStr">
        <is>
          <t>Every-minute watchdog: evening rule, under +5% before the close</t>
        </is>
      </c>
      <c r="Q52" s="12" t="n"/>
      <c r="R52" s="6" t="n"/>
      <c r="S52" s="18" t="n"/>
      <c r="T52" s="12" t="n"/>
      <c r="U52" s="19" t="n"/>
      <c r="V52" s="19" t="n"/>
      <c r="W52" s="12" t="n"/>
      <c r="X52" s="6" t="n"/>
      <c r="Y52" s="19" t="n"/>
      <c r="Z52" s="6" t="n"/>
      <c r="AA52" s="12" t="n"/>
      <c r="AB52" s="15" t="n"/>
      <c r="AC52" s="6" t="n"/>
      <c r="AD52" s="6" t="n"/>
      <c r="AE52" s="17" t="n"/>
      <c r="AF52" s="17" t="n"/>
      <c r="AG52" s="17" t="n"/>
      <c r="AH52" s="20" t="n"/>
      <c r="AI52" s="18" t="n"/>
      <c r="AJ52" s="6" t="n"/>
      <c r="AK52" s="12" t="n"/>
      <c r="AL52" s="15" t="n"/>
      <c r="AM52" s="17" t="n"/>
      <c r="AN52" s="19" t="n"/>
      <c r="AO52" s="17" t="n"/>
      <c r="AP52" s="17" t="n"/>
      <c r="AQ52" s="19" t="n"/>
      <c r="AR52" s="16" t="n"/>
      <c r="AS52" s="17" t="n"/>
      <c r="AT52" s="19" t="n"/>
      <c r="AU52" s="6" t="inlineStr">
        <is>
          <t>paper</t>
        </is>
      </c>
      <c r="AV52" s="6" t="inlineStr">
        <is>
          <t>99c08b19-1d7a-4a5a-bb13-20150fde7167</t>
        </is>
      </c>
      <c r="AW52" s="6" t="inlineStr">
        <is>
          <t>tdagent-wd-evening-DT-1793215822409</t>
        </is>
      </c>
      <c r="AX52" s="13" t="n">
        <v>46323.81275462963</v>
      </c>
      <c r="AY52" s="13" t="n">
        <v>46323.81278935185</v>
      </c>
      <c r="AZ52" s="13" t="n"/>
      <c r="BA52" s="6" t="n"/>
    </row>
    <row r="53">
      <c r="A53" s="12" t="n">
        <v>52</v>
      </c>
      <c r="B53" s="13" t="n">
        <v>46323.85445601852</v>
      </c>
      <c r="C53" s="13" t="n">
        <v>46323.64612268518</v>
      </c>
      <c r="D53" s="13" t="n">
        <v>46323.81278935185</v>
      </c>
      <c r="E53" s="21" t="inlineStr">
        <is>
          <t>SELL</t>
        </is>
      </c>
      <c r="F53" s="6" t="inlineStr">
        <is>
          <t>EBAY</t>
        </is>
      </c>
      <c r="G53" s="15" t="n"/>
      <c r="H53" s="6" t="n"/>
      <c r="I53" s="6" t="inlineStr">
        <is>
          <t>filled</t>
        </is>
      </c>
      <c r="J53" s="16" t="n">
        <v>70.13268309</v>
      </c>
      <c r="K53" s="17" t="n">
        <v>117.477719</v>
      </c>
      <c r="L53" s="17">
        <f>IF(AND(ISNUMBER(J53),ISNUMBER(K53)),J53*K53,"")</f>
        <v/>
      </c>
      <c r="M53" s="17" t="n"/>
      <c r="N53" s="16" t="n">
        <v>70.13268309</v>
      </c>
      <c r="O53" s="6" t="inlineStr">
        <is>
          <t>evening under 5% (watchdog)</t>
        </is>
      </c>
      <c r="P53" s="15" t="inlineStr">
        <is>
          <t>Every-minute watchdog: evening rule, under +5% before the close</t>
        </is>
      </c>
      <c r="Q53" s="12" t="n"/>
      <c r="R53" s="6" t="n"/>
      <c r="S53" s="18" t="n"/>
      <c r="T53" s="12" t="n"/>
      <c r="U53" s="19" t="n"/>
      <c r="V53" s="19" t="n"/>
      <c r="W53" s="12" t="n"/>
      <c r="X53" s="6" t="n"/>
      <c r="Y53" s="19" t="n"/>
      <c r="Z53" s="6" t="n"/>
      <c r="AA53" s="12" t="n"/>
      <c r="AB53" s="15" t="n"/>
      <c r="AC53" s="6" t="n"/>
      <c r="AD53" s="6" t="n"/>
      <c r="AE53" s="17" t="n"/>
      <c r="AF53" s="17" t="n"/>
      <c r="AG53" s="17" t="n"/>
      <c r="AH53" s="20" t="n"/>
      <c r="AI53" s="18" t="n"/>
      <c r="AJ53" s="6" t="n"/>
      <c r="AK53" s="12" t="n"/>
      <c r="AL53" s="15" t="n"/>
      <c r="AM53" s="17" t="n"/>
      <c r="AN53" s="19" t="n"/>
      <c r="AO53" s="17" t="n"/>
      <c r="AP53" s="17" t="n"/>
      <c r="AQ53" s="19" t="n"/>
      <c r="AR53" s="16" t="n"/>
      <c r="AS53" s="17" t="n"/>
      <c r="AT53" s="19" t="n"/>
      <c r="AU53" s="6" t="inlineStr">
        <is>
          <t>paper</t>
        </is>
      </c>
      <c r="AV53" s="6" t="inlineStr">
        <is>
          <t>7e3b9a25-df34-45b9-87d0-39f00f5b6161</t>
        </is>
      </c>
      <c r="AW53" s="6" t="inlineStr">
        <is>
          <t>tdagent-wd-evening-EBAY-1793215823758</t>
        </is>
      </c>
      <c r="AX53" s="13" t="n">
        <v>46323.8127662037</v>
      </c>
      <c r="AY53" s="13" t="n">
        <v>46323.81278935185</v>
      </c>
      <c r="AZ53" s="13" t="n"/>
      <c r="BA53" s="6" t="n"/>
    </row>
    <row r="54">
      <c r="A54" s="12" t="n">
        <v>53</v>
      </c>
      <c r="B54" s="13" t="n">
        <v>46323.8544675926</v>
      </c>
      <c r="C54" s="13" t="n">
        <v>46323.64613425926</v>
      </c>
      <c r="D54" s="13" t="n">
        <v>46323.81280092592</v>
      </c>
      <c r="E54" s="21" t="inlineStr">
        <is>
          <t>SELL</t>
        </is>
      </c>
      <c r="F54" s="6" t="inlineStr">
        <is>
          <t>EQNR</t>
        </is>
      </c>
      <c r="G54" s="15" t="n"/>
      <c r="H54" s="6" t="n"/>
      <c r="I54" s="6" t="inlineStr">
        <is>
          <t>filled</t>
        </is>
      </c>
      <c r="J54" s="16" t="n">
        <v>21.932885906</v>
      </c>
      <c r="K54" s="17" t="n">
        <v>47.68</v>
      </c>
      <c r="L54" s="17">
        <f>IF(AND(ISNUMBER(J54),ISNUMBER(K54)),J54*K54,"")</f>
        <v/>
      </c>
      <c r="M54" s="17" t="n"/>
      <c r="N54" s="16" t="n">
        <v>21.932885906</v>
      </c>
      <c r="O54" s="6" t="inlineStr">
        <is>
          <t>evening under 5% (watchdog)</t>
        </is>
      </c>
      <c r="P54" s="15" t="inlineStr">
        <is>
          <t>Every-minute watchdog: evening rule, under +5% before the close</t>
        </is>
      </c>
      <c r="Q54" s="12" t="n"/>
      <c r="R54" s="6" t="n"/>
      <c r="S54" s="18" t="n"/>
      <c r="T54" s="12" t="n"/>
      <c r="U54" s="19" t="n"/>
      <c r="V54" s="19" t="n"/>
      <c r="W54" s="12" t="n"/>
      <c r="X54" s="6" t="n"/>
      <c r="Y54" s="19" t="n"/>
      <c r="Z54" s="6" t="n"/>
      <c r="AA54" s="12" t="n"/>
      <c r="AB54" s="15" t="n"/>
      <c r="AC54" s="6" t="n"/>
      <c r="AD54" s="6" t="n"/>
      <c r="AE54" s="17" t="n"/>
      <c r="AF54" s="17" t="n"/>
      <c r="AG54" s="17" t="n"/>
      <c r="AH54" s="20" t="n"/>
      <c r="AI54" s="18" t="n"/>
      <c r="AJ54" s="6" t="n"/>
      <c r="AK54" s="12" t="n"/>
      <c r="AL54" s="15" t="n"/>
      <c r="AM54" s="17" t="n"/>
      <c r="AN54" s="19" t="n"/>
      <c r="AO54" s="17" t="n"/>
      <c r="AP54" s="17" t="n"/>
      <c r="AQ54" s="19" t="n"/>
      <c r="AR54" s="16" t="n"/>
      <c r="AS54" s="17" t="n"/>
      <c r="AT54" s="19" t="n"/>
      <c r="AU54" s="6" t="inlineStr">
        <is>
          <t>paper</t>
        </is>
      </c>
      <c r="AV54" s="6" t="inlineStr">
        <is>
          <t>5706b4df-35d3-4d73-921f-dfffda2590f2</t>
        </is>
      </c>
      <c r="AW54" s="6" t="inlineStr">
        <is>
          <t>tdagent-wd-evening-EQNR-1793215825105</t>
        </is>
      </c>
      <c r="AX54" s="13" t="n">
        <v>46323.81278935185</v>
      </c>
      <c r="AY54" s="13" t="n">
        <v>46323.81280092592</v>
      </c>
      <c r="AZ54" s="13" t="n"/>
      <c r="BA54" s="6" t="n"/>
    </row>
    <row r="55">
      <c r="A55" s="12" t="n">
        <v>54</v>
      </c>
      <c r="B55" s="13" t="n">
        <v>46323.85447916666</v>
      </c>
      <c r="C55" s="13" t="n">
        <v>46323.64614583334</v>
      </c>
      <c r="D55" s="13" t="n">
        <v>46323.8128125</v>
      </c>
      <c r="E55" s="21" t="inlineStr">
        <is>
          <t>SELL</t>
        </is>
      </c>
      <c r="F55" s="6" t="inlineStr">
        <is>
          <t>EQT</t>
        </is>
      </c>
      <c r="G55" s="15" t="n"/>
      <c r="H55" s="6" t="n"/>
      <c r="I55" s="6" t="inlineStr">
        <is>
          <t>filled</t>
        </is>
      </c>
      <c r="J55" s="16" t="n">
        <v>1.562264961</v>
      </c>
      <c r="K55" s="17" t="n">
        <v>56.34</v>
      </c>
      <c r="L55" s="17">
        <f>IF(AND(ISNUMBER(J55),ISNUMBER(K55)),J55*K55,"")</f>
        <v/>
      </c>
      <c r="M55" s="17" t="n"/>
      <c r="N55" s="16" t="n">
        <v>1.562264961</v>
      </c>
      <c r="O55" s="6" t="inlineStr">
        <is>
          <t>evening under 5% (watchdog)</t>
        </is>
      </c>
      <c r="P55" s="15" t="inlineStr">
        <is>
          <t>Every-minute watchdog: evening rule, under +5% before the close</t>
        </is>
      </c>
      <c r="Q55" s="12" t="n"/>
      <c r="R55" s="6" t="n"/>
      <c r="S55" s="18" t="n"/>
      <c r="T55" s="12" t="n"/>
      <c r="U55" s="19" t="n"/>
      <c r="V55" s="19" t="n"/>
      <c r="W55" s="12" t="n"/>
      <c r="X55" s="6" t="n"/>
      <c r="Y55" s="19" t="n"/>
      <c r="Z55" s="6" t="n"/>
      <c r="AA55" s="12" t="n"/>
      <c r="AB55" s="15" t="n"/>
      <c r="AC55" s="6" t="n"/>
      <c r="AD55" s="6" t="n"/>
      <c r="AE55" s="17" t="n"/>
      <c r="AF55" s="17" t="n"/>
      <c r="AG55" s="17" t="n"/>
      <c r="AH55" s="20" t="n"/>
      <c r="AI55" s="18" t="n"/>
      <c r="AJ55" s="6" t="n"/>
      <c r="AK55" s="12" t="n"/>
      <c r="AL55" s="15" t="n"/>
      <c r="AM55" s="17" t="n"/>
      <c r="AN55" s="19" t="n"/>
      <c r="AO55" s="17" t="n"/>
      <c r="AP55" s="17" t="n"/>
      <c r="AQ55" s="19" t="n"/>
      <c r="AR55" s="16" t="n"/>
      <c r="AS55" s="17" t="n"/>
      <c r="AT55" s="19" t="n"/>
      <c r="AU55" s="6" t="inlineStr">
        <is>
          <t>paper</t>
        </is>
      </c>
      <c r="AV55" s="6" t="inlineStr">
        <is>
          <t>bb32325f-f3dd-462d-9764-ab7b61e177e6</t>
        </is>
      </c>
      <c r="AW55" s="6" t="inlineStr">
        <is>
          <t>tdagent-wd-evening-EQT-1793215826520</t>
        </is>
      </c>
      <c r="AX55" s="13" t="n">
        <v>46323.81280092592</v>
      </c>
      <c r="AY55" s="13" t="n">
        <v>46323.8128125</v>
      </c>
      <c r="AZ55" s="13" t="n"/>
      <c r="BA55" s="6" t="n"/>
    </row>
    <row r="56">
      <c r="A56" s="12" t="n">
        <v>55</v>
      </c>
      <c r="B56" s="13" t="n">
        <v>46323.85449074074</v>
      </c>
      <c r="C56" s="13" t="n">
        <v>46323.64615740741</v>
      </c>
      <c r="D56" s="13" t="n">
        <v>46323.81282407408</v>
      </c>
      <c r="E56" s="21" t="inlineStr">
        <is>
          <t>SELL</t>
        </is>
      </c>
      <c r="F56" s="6" t="inlineStr">
        <is>
          <t>ILMN</t>
        </is>
      </c>
      <c r="G56" s="15" t="n"/>
      <c r="H56" s="6" t="n"/>
      <c r="I56" s="6" t="inlineStr">
        <is>
          <t>filled</t>
        </is>
      </c>
      <c r="J56" s="16" t="n">
        <v>29.659715302</v>
      </c>
      <c r="K56" s="17" t="n">
        <v>288.51</v>
      </c>
      <c r="L56" s="17">
        <f>IF(AND(ISNUMBER(J56),ISNUMBER(K56)),J56*K56,"")</f>
        <v/>
      </c>
      <c r="M56" s="17" t="n"/>
      <c r="N56" s="16" t="n">
        <v>29.659715302</v>
      </c>
      <c r="O56" s="6" t="inlineStr">
        <is>
          <t>evening under 5% (watchdog)</t>
        </is>
      </c>
      <c r="P56" s="15" t="inlineStr">
        <is>
          <t>Every-minute watchdog: evening rule, under +5% before the close</t>
        </is>
      </c>
      <c r="Q56" s="12" t="n"/>
      <c r="R56" s="6" t="n"/>
      <c r="S56" s="18" t="n"/>
      <c r="T56" s="12" t="n"/>
      <c r="U56" s="19" t="n"/>
      <c r="V56" s="19" t="n"/>
      <c r="W56" s="12" t="n"/>
      <c r="X56" s="6" t="n"/>
      <c r="Y56" s="19" t="n"/>
      <c r="Z56" s="6" t="n"/>
      <c r="AA56" s="12" t="n"/>
      <c r="AB56" s="15" t="n"/>
      <c r="AC56" s="6" t="n"/>
      <c r="AD56" s="6" t="n"/>
      <c r="AE56" s="17" t="n"/>
      <c r="AF56" s="17" t="n"/>
      <c r="AG56" s="17" t="n"/>
      <c r="AH56" s="20" t="n"/>
      <c r="AI56" s="18" t="n"/>
      <c r="AJ56" s="6" t="n"/>
      <c r="AK56" s="12" t="n"/>
      <c r="AL56" s="15" t="n"/>
      <c r="AM56" s="17" t="n"/>
      <c r="AN56" s="19" t="n"/>
      <c r="AO56" s="17" t="n"/>
      <c r="AP56" s="17" t="n"/>
      <c r="AQ56" s="19" t="n"/>
      <c r="AR56" s="16" t="n"/>
      <c r="AS56" s="17" t="n"/>
      <c r="AT56" s="19" t="n"/>
      <c r="AU56" s="6" t="inlineStr">
        <is>
          <t>paper</t>
        </is>
      </c>
      <c r="AV56" s="6" t="inlineStr">
        <is>
          <t>ec00043f-733c-4dec-be1d-d537a299dd76</t>
        </is>
      </c>
      <c r="AW56" s="6" t="inlineStr">
        <is>
          <t>tdagent-wd-evening-ILMN-1793215827864</t>
        </is>
      </c>
      <c r="AX56" s="13" t="n">
        <v>46323.81282407408</v>
      </c>
      <c r="AY56" s="13" t="n">
        <v>46323.81282407408</v>
      </c>
      <c r="AZ56" s="13" t="n"/>
      <c r="BA56" s="6" t="n"/>
    </row>
    <row r="57">
      <c r="A57" s="12" t="n">
        <v>56</v>
      </c>
      <c r="B57" s="13" t="n">
        <v>46323.85454861111</v>
      </c>
      <c r="C57" s="13" t="n">
        <v>46323.64621527777</v>
      </c>
      <c r="D57" s="13" t="n">
        <v>46323.81288194445</v>
      </c>
      <c r="E57" s="21" t="inlineStr">
        <is>
          <t>SELL</t>
        </is>
      </c>
      <c r="F57" s="6" t="inlineStr">
        <is>
          <t>IQV</t>
        </is>
      </c>
      <c r="G57" s="15" t="n"/>
      <c r="H57" s="6" t="n"/>
      <c r="I57" s="6" t="inlineStr">
        <is>
          <t>filled</t>
        </is>
      </c>
      <c r="J57" s="16" t="n">
        <v>15.179879935</v>
      </c>
      <c r="K57" s="17" t="n">
        <v>276.99</v>
      </c>
      <c r="L57" s="17">
        <f>IF(AND(ISNUMBER(J57),ISNUMBER(K57)),J57*K57,"")</f>
        <v/>
      </c>
      <c r="M57" s="17" t="n"/>
      <c r="N57" s="16" t="n">
        <v>15.179879935</v>
      </c>
      <c r="O57" s="6" t="inlineStr">
        <is>
          <t>evening under 5% (watchdog)</t>
        </is>
      </c>
      <c r="P57" s="15" t="inlineStr">
        <is>
          <t>Every-minute watchdog: evening rule, under +5% before the close</t>
        </is>
      </c>
      <c r="Q57" s="12" t="n"/>
      <c r="R57" s="6" t="n"/>
      <c r="S57" s="18" t="n"/>
      <c r="T57" s="12" t="n"/>
      <c r="U57" s="19" t="n"/>
      <c r="V57" s="19" t="n"/>
      <c r="W57" s="12" t="n"/>
      <c r="X57" s="6" t="n"/>
      <c r="Y57" s="19" t="n"/>
      <c r="Z57" s="6" t="n"/>
      <c r="AA57" s="12" t="n"/>
      <c r="AB57" s="15" t="n"/>
      <c r="AC57" s="6" t="n"/>
      <c r="AD57" s="6" t="n"/>
      <c r="AE57" s="17" t="n"/>
      <c r="AF57" s="17" t="n"/>
      <c r="AG57" s="17" t="n"/>
      <c r="AH57" s="20" t="n"/>
      <c r="AI57" s="18" t="n"/>
      <c r="AJ57" s="6" t="n"/>
      <c r="AK57" s="12" t="n"/>
      <c r="AL57" s="15" t="n"/>
      <c r="AM57" s="17" t="n"/>
      <c r="AN57" s="19" t="n"/>
      <c r="AO57" s="17" t="n"/>
      <c r="AP57" s="17" t="n"/>
      <c r="AQ57" s="19" t="n"/>
      <c r="AR57" s="16" t="n"/>
      <c r="AS57" s="17" t="n"/>
      <c r="AT57" s="19" t="n"/>
      <c r="AU57" s="6" t="inlineStr">
        <is>
          <t>paper</t>
        </is>
      </c>
      <c r="AV57" s="6" t="inlineStr">
        <is>
          <t>b8de6178-d62b-48bd-b758-40dc1a541577</t>
        </is>
      </c>
      <c r="AW57" s="6" t="inlineStr">
        <is>
          <t>tdagent-wd-evening-IQV-1793215829241</t>
        </is>
      </c>
      <c r="AX57" s="13" t="n">
        <v>46323.81283564815</v>
      </c>
      <c r="AY57" s="13" t="n">
        <v>46323.81288194445</v>
      </c>
      <c r="AZ57" s="13" t="n"/>
      <c r="BA57" s="6" t="n"/>
    </row>
    <row r="58">
      <c r="A58" s="12" t="n">
        <v>57</v>
      </c>
      <c r="B58" s="13" t="n">
        <v>46323.85454861111</v>
      </c>
      <c r="C58" s="13" t="n">
        <v>46323.64621527777</v>
      </c>
      <c r="D58" s="13" t="n">
        <v>46323.81288194445</v>
      </c>
      <c r="E58" s="21" t="inlineStr">
        <is>
          <t>SELL</t>
        </is>
      </c>
      <c r="F58" s="6" t="inlineStr">
        <is>
          <t>KR</t>
        </is>
      </c>
      <c r="G58" s="15" t="n"/>
      <c r="H58" s="6" t="n"/>
      <c r="I58" s="6" t="inlineStr">
        <is>
          <t>filled</t>
        </is>
      </c>
      <c r="J58" s="16" t="n">
        <v>15.948757053</v>
      </c>
      <c r="K58" s="17" t="n">
        <v>65.22</v>
      </c>
      <c r="L58" s="17">
        <f>IF(AND(ISNUMBER(J58),ISNUMBER(K58)),J58*K58,"")</f>
        <v/>
      </c>
      <c r="M58" s="17" t="n"/>
      <c r="N58" s="16" t="n">
        <v>15.948757053</v>
      </c>
      <c r="O58" s="6" t="inlineStr">
        <is>
          <t>evening under 5% (watchdog)</t>
        </is>
      </c>
      <c r="P58" s="15" t="inlineStr">
        <is>
          <t>Every-minute watchdog: evening rule, under +5% before the close</t>
        </is>
      </c>
      <c r="Q58" s="12" t="n"/>
      <c r="R58" s="6" t="n"/>
      <c r="S58" s="18" t="n"/>
      <c r="T58" s="12" t="n"/>
      <c r="U58" s="19" t="n"/>
      <c r="V58" s="19" t="n"/>
      <c r="W58" s="12" t="n"/>
      <c r="X58" s="6" t="n"/>
      <c r="Y58" s="19" t="n"/>
      <c r="Z58" s="6" t="n"/>
      <c r="AA58" s="12" t="n"/>
      <c r="AB58" s="15" t="n"/>
      <c r="AC58" s="6" t="n"/>
      <c r="AD58" s="6" t="n"/>
      <c r="AE58" s="17" t="n"/>
      <c r="AF58" s="17" t="n"/>
      <c r="AG58" s="17" t="n"/>
      <c r="AH58" s="20" t="n"/>
      <c r="AI58" s="18" t="n"/>
      <c r="AJ58" s="6" t="n"/>
      <c r="AK58" s="12" t="n"/>
      <c r="AL58" s="15" t="n"/>
      <c r="AM58" s="17" t="n"/>
      <c r="AN58" s="19" t="n"/>
      <c r="AO58" s="17" t="n"/>
      <c r="AP58" s="17" t="n"/>
      <c r="AQ58" s="19" t="n"/>
      <c r="AR58" s="16" t="n"/>
      <c r="AS58" s="17" t="n"/>
      <c r="AT58" s="19" t="n"/>
      <c r="AU58" s="6" t="inlineStr">
        <is>
          <t>paper</t>
        </is>
      </c>
      <c r="AV58" s="6" t="inlineStr">
        <is>
          <t>ee9ae1f0-579c-4aa0-a2c4-6f9e252ed5eb</t>
        </is>
      </c>
      <c r="AW58" s="6" t="inlineStr">
        <is>
          <t>tdagent-wd-evening-KR-1793215830670</t>
        </is>
      </c>
      <c r="AX58" s="13" t="n">
        <v>46323.81284722222</v>
      </c>
      <c r="AY58" s="13" t="n">
        <v>46323.81288194445</v>
      </c>
      <c r="AZ58" s="13" t="n"/>
      <c r="BA58" s="6" t="n"/>
    </row>
    <row r="59">
      <c r="A59" s="12" t="n">
        <v>58</v>
      </c>
      <c r="B59" s="13" t="n">
        <v>46323.85453703703</v>
      </c>
      <c r="C59" s="13" t="n">
        <v>46323.64620370371</v>
      </c>
      <c r="D59" s="13" t="n">
        <v>46323.81287037037</v>
      </c>
      <c r="E59" s="21" t="inlineStr">
        <is>
          <t>SELL</t>
        </is>
      </c>
      <c r="F59" s="6" t="inlineStr">
        <is>
          <t>LLY</t>
        </is>
      </c>
      <c r="G59" s="15" t="n"/>
      <c r="H59" s="6" t="n"/>
      <c r="I59" s="6" t="inlineStr">
        <is>
          <t>filled</t>
        </is>
      </c>
      <c r="J59" s="16" t="n">
        <v>0.057344226</v>
      </c>
      <c r="K59" s="17" t="n">
        <v>1295.462</v>
      </c>
      <c r="L59" s="17">
        <f>IF(AND(ISNUMBER(J59),ISNUMBER(K59)),J59*K59,"")</f>
        <v/>
      </c>
      <c r="M59" s="17" t="n"/>
      <c r="N59" s="16" t="n">
        <v>0.057344226</v>
      </c>
      <c r="O59" s="6" t="inlineStr">
        <is>
          <t>evening under 5% (watchdog)</t>
        </is>
      </c>
      <c r="P59" s="15" t="inlineStr">
        <is>
          <t>Every-minute watchdog: evening rule, under +5% before the close</t>
        </is>
      </c>
      <c r="Q59" s="12" t="n"/>
      <c r="R59" s="6" t="n"/>
      <c r="S59" s="18" t="n"/>
      <c r="T59" s="12" t="n"/>
      <c r="U59" s="19" t="n"/>
      <c r="V59" s="19" t="n"/>
      <c r="W59" s="12" t="n"/>
      <c r="X59" s="6" t="n"/>
      <c r="Y59" s="19" t="n"/>
      <c r="Z59" s="6" t="n"/>
      <c r="AA59" s="12" t="n"/>
      <c r="AB59" s="15" t="n"/>
      <c r="AC59" s="6" t="n"/>
      <c r="AD59" s="6" t="n"/>
      <c r="AE59" s="17" t="n"/>
      <c r="AF59" s="17" t="n"/>
      <c r="AG59" s="17" t="n"/>
      <c r="AH59" s="20" t="n"/>
      <c r="AI59" s="18" t="n"/>
      <c r="AJ59" s="6" t="n"/>
      <c r="AK59" s="12" t="n"/>
      <c r="AL59" s="15" t="n"/>
      <c r="AM59" s="17" t="n"/>
      <c r="AN59" s="19" t="n"/>
      <c r="AO59" s="17" t="n"/>
      <c r="AP59" s="17" t="n"/>
      <c r="AQ59" s="19" t="n"/>
      <c r="AR59" s="16" t="n"/>
      <c r="AS59" s="17" t="n"/>
      <c r="AT59" s="19" t="n"/>
      <c r="AU59" s="6" t="inlineStr">
        <is>
          <t>paper</t>
        </is>
      </c>
      <c r="AV59" s="6" t="inlineStr">
        <is>
          <t>6821bf60-59eb-4195-a107-b43395f1d9bf</t>
        </is>
      </c>
      <c r="AW59" s="6" t="inlineStr">
        <is>
          <t>tdagent-wd-evening-LLY-1793215832015</t>
        </is>
      </c>
      <c r="AX59" s="13" t="n">
        <v>46323.81287037037</v>
      </c>
      <c r="AY59" s="13" t="n">
        <v>46323.81287037037</v>
      </c>
      <c r="AZ59" s="13" t="n"/>
      <c r="BA59" s="6" t="n"/>
    </row>
    <row r="60">
      <c r="A60" s="12" t="n">
        <v>59</v>
      </c>
      <c r="B60" s="13" t="n">
        <v>46323.85457175926</v>
      </c>
      <c r="C60" s="13" t="n">
        <v>46323.64623842593</v>
      </c>
      <c r="D60" s="13" t="n">
        <v>46323.81290509259</v>
      </c>
      <c r="E60" s="21" t="inlineStr">
        <is>
          <t>SELL</t>
        </is>
      </c>
      <c r="F60" s="6" t="inlineStr">
        <is>
          <t>LNG</t>
        </is>
      </c>
      <c r="G60" s="15" t="n"/>
      <c r="H60" s="6" t="n"/>
      <c r="I60" s="6" t="inlineStr">
        <is>
          <t>filled</t>
        </is>
      </c>
      <c r="J60" s="16" t="n">
        <v>3.489356022</v>
      </c>
      <c r="K60" s="17" t="n">
        <v>297.565854</v>
      </c>
      <c r="L60" s="17">
        <f>IF(AND(ISNUMBER(J60),ISNUMBER(K60)),J60*K60,"")</f>
        <v/>
      </c>
      <c r="M60" s="17" t="n"/>
      <c r="N60" s="16" t="n">
        <v>3.489356022</v>
      </c>
      <c r="O60" s="6" t="inlineStr">
        <is>
          <t>evening under 5% (watchdog)</t>
        </is>
      </c>
      <c r="P60" s="15" t="inlineStr">
        <is>
          <t>Every-minute watchdog: evening rule, under +5% before the close</t>
        </is>
      </c>
      <c r="Q60" s="12" t="n"/>
      <c r="R60" s="6" t="n"/>
      <c r="S60" s="18" t="n"/>
      <c r="T60" s="12" t="n"/>
      <c r="U60" s="19" t="n"/>
      <c r="V60" s="19" t="n"/>
      <c r="W60" s="12" t="n"/>
      <c r="X60" s="6" t="n"/>
      <c r="Y60" s="19" t="n"/>
      <c r="Z60" s="6" t="n"/>
      <c r="AA60" s="12" t="n"/>
      <c r="AB60" s="15" t="n"/>
      <c r="AC60" s="6" t="n"/>
      <c r="AD60" s="6" t="n"/>
      <c r="AE60" s="17" t="n"/>
      <c r="AF60" s="17" t="n"/>
      <c r="AG60" s="17" t="n"/>
      <c r="AH60" s="20" t="n"/>
      <c r="AI60" s="18" t="n"/>
      <c r="AJ60" s="6" t="n"/>
      <c r="AK60" s="12" t="n"/>
      <c r="AL60" s="15" t="n"/>
      <c r="AM60" s="17" t="n"/>
      <c r="AN60" s="19" t="n"/>
      <c r="AO60" s="17" t="n"/>
      <c r="AP60" s="17" t="n"/>
      <c r="AQ60" s="19" t="n"/>
      <c r="AR60" s="16" t="n"/>
      <c r="AS60" s="17" t="n"/>
      <c r="AT60" s="19" t="n"/>
      <c r="AU60" s="6" t="inlineStr">
        <is>
          <t>paper</t>
        </is>
      </c>
      <c r="AV60" s="6" t="inlineStr">
        <is>
          <t>f6446b61-0fb1-4a55-af62-bfdd09ad3c3e</t>
        </is>
      </c>
      <c r="AW60" s="6" t="inlineStr">
        <is>
          <t>tdagent-wd-evening-LNG-1793215833366</t>
        </is>
      </c>
      <c r="AX60" s="13" t="n">
        <v>46323.81288194445</v>
      </c>
      <c r="AY60" s="13" t="n">
        <v>46323.81290509259</v>
      </c>
      <c r="AZ60" s="13" t="n"/>
      <c r="BA60" s="6" t="n"/>
    </row>
    <row r="61">
      <c r="A61" s="12" t="n">
        <v>60</v>
      </c>
      <c r="B61" s="13" t="n">
        <v>46323.85456018519</v>
      </c>
      <c r="C61" s="13" t="n">
        <v>46323.64622685185</v>
      </c>
      <c r="D61" s="13" t="n">
        <v>46323.81289351852</v>
      </c>
      <c r="E61" s="21" t="inlineStr">
        <is>
          <t>SELL</t>
        </is>
      </c>
      <c r="F61" s="6" t="inlineStr">
        <is>
          <t>MA</t>
        </is>
      </c>
      <c r="G61" s="15" t="n"/>
      <c r="H61" s="6" t="n"/>
      <c r="I61" s="6" t="inlineStr">
        <is>
          <t>filled</t>
        </is>
      </c>
      <c r="J61" s="16" t="n">
        <v>0.852029044</v>
      </c>
      <c r="K61" s="17" t="n">
        <v>612.568</v>
      </c>
      <c r="L61" s="17">
        <f>IF(AND(ISNUMBER(J61),ISNUMBER(K61)),J61*K61,"")</f>
        <v/>
      </c>
      <c r="M61" s="17" t="n"/>
      <c r="N61" s="16" t="n">
        <v>0.852029044</v>
      </c>
      <c r="O61" s="6" t="inlineStr">
        <is>
          <t>evening under 5% (watchdog)</t>
        </is>
      </c>
      <c r="P61" s="15" t="inlineStr">
        <is>
          <t>Every-minute watchdog: evening rule, under +5% before the close</t>
        </is>
      </c>
      <c r="Q61" s="12" t="n"/>
      <c r="R61" s="6" t="n"/>
      <c r="S61" s="18" t="n"/>
      <c r="T61" s="12" t="n"/>
      <c r="U61" s="19" t="n"/>
      <c r="V61" s="19" t="n"/>
      <c r="W61" s="12" t="n"/>
      <c r="X61" s="6" t="n"/>
      <c r="Y61" s="19" t="n"/>
      <c r="Z61" s="6" t="n"/>
      <c r="AA61" s="12" t="n"/>
      <c r="AB61" s="15" t="n"/>
      <c r="AC61" s="6" t="n"/>
      <c r="AD61" s="6" t="n"/>
      <c r="AE61" s="17" t="n"/>
      <c r="AF61" s="17" t="n"/>
      <c r="AG61" s="17" t="n"/>
      <c r="AH61" s="20" t="n"/>
      <c r="AI61" s="18" t="n"/>
      <c r="AJ61" s="6" t="n"/>
      <c r="AK61" s="12" t="n"/>
      <c r="AL61" s="15" t="n"/>
      <c r="AM61" s="17" t="n"/>
      <c r="AN61" s="19" t="n"/>
      <c r="AO61" s="17" t="n"/>
      <c r="AP61" s="17" t="n"/>
      <c r="AQ61" s="19" t="n"/>
      <c r="AR61" s="16" t="n"/>
      <c r="AS61" s="17" t="n"/>
      <c r="AT61" s="19" t="n"/>
      <c r="AU61" s="6" t="inlineStr">
        <is>
          <t>paper</t>
        </is>
      </c>
      <c r="AV61" s="6" t="inlineStr">
        <is>
          <t>c2f75328-b02e-4fd9-a6d3-34f8f02b82df</t>
        </is>
      </c>
      <c r="AW61" s="6" t="inlineStr">
        <is>
          <t>tdagent-wd-evening-MA-1793215834729</t>
        </is>
      </c>
      <c r="AX61" s="13" t="n">
        <v>46323.81289351852</v>
      </c>
      <c r="AY61" s="13" t="n">
        <v>46323.81289351852</v>
      </c>
      <c r="AZ61" s="13" t="n"/>
      <c r="BA61" s="6" t="n"/>
    </row>
    <row r="62">
      <c r="A62" s="12" t="n">
        <v>61</v>
      </c>
      <c r="B62" s="13" t="n">
        <v>46323.85459490741</v>
      </c>
      <c r="C62" s="13" t="n">
        <v>46323.64626157407</v>
      </c>
      <c r="D62" s="13" t="n">
        <v>46323.81292824074</v>
      </c>
      <c r="E62" s="21" t="inlineStr">
        <is>
          <t>SELL</t>
        </is>
      </c>
      <c r="F62" s="6" t="inlineStr">
        <is>
          <t>MCK</t>
        </is>
      </c>
      <c r="G62" s="15" t="n"/>
      <c r="H62" s="6" t="n"/>
      <c r="I62" s="6" t="inlineStr">
        <is>
          <t>filled</t>
        </is>
      </c>
      <c r="J62" s="16" t="n">
        <v>8.620135337000001</v>
      </c>
      <c r="K62" s="17" t="n">
        <v>959.34</v>
      </c>
      <c r="L62" s="17">
        <f>IF(AND(ISNUMBER(J62),ISNUMBER(K62)),J62*K62,"")</f>
        <v/>
      </c>
      <c r="M62" s="17" t="n"/>
      <c r="N62" s="16" t="n">
        <v>8.620135337000001</v>
      </c>
      <c r="O62" s="6" t="inlineStr">
        <is>
          <t>evening under 5% (watchdog)</t>
        </is>
      </c>
      <c r="P62" s="15" t="inlineStr">
        <is>
          <t>Every-minute watchdog: evening rule, under +5% before the close</t>
        </is>
      </c>
      <c r="Q62" s="12" t="n"/>
      <c r="R62" s="6" t="n"/>
      <c r="S62" s="18" t="n"/>
      <c r="T62" s="12" t="n"/>
      <c r="U62" s="19" t="n"/>
      <c r="V62" s="19" t="n"/>
      <c r="W62" s="12" t="n"/>
      <c r="X62" s="6" t="n"/>
      <c r="Y62" s="19" t="n"/>
      <c r="Z62" s="6" t="n"/>
      <c r="AA62" s="12" t="n"/>
      <c r="AB62" s="15" t="n"/>
      <c r="AC62" s="6" t="n"/>
      <c r="AD62" s="6" t="n"/>
      <c r="AE62" s="17" t="n"/>
      <c r="AF62" s="17" t="n"/>
      <c r="AG62" s="17" t="n"/>
      <c r="AH62" s="20" t="n"/>
      <c r="AI62" s="18" t="n"/>
      <c r="AJ62" s="6" t="n"/>
      <c r="AK62" s="12" t="n"/>
      <c r="AL62" s="15" t="n"/>
      <c r="AM62" s="17" t="n"/>
      <c r="AN62" s="19" t="n"/>
      <c r="AO62" s="17" t="n"/>
      <c r="AP62" s="17" t="n"/>
      <c r="AQ62" s="19" t="n"/>
      <c r="AR62" s="16" t="n"/>
      <c r="AS62" s="17" t="n"/>
      <c r="AT62" s="19" t="n"/>
      <c r="AU62" s="6" t="inlineStr">
        <is>
          <t>paper</t>
        </is>
      </c>
      <c r="AV62" s="6" t="inlineStr">
        <is>
          <t>1cbaf7af-df8c-49b5-a02a-0b94c3695da5</t>
        </is>
      </c>
      <c r="AW62" s="6" t="inlineStr">
        <is>
          <t>tdagent-wd-evening-MCK-1793215836074</t>
        </is>
      </c>
      <c r="AX62" s="13" t="n">
        <v>46323.81291666667</v>
      </c>
      <c r="AY62" s="13" t="n">
        <v>46323.81292824074</v>
      </c>
      <c r="AZ62" s="13" t="n"/>
      <c r="BA62" s="6" t="n"/>
    </row>
    <row r="63">
      <c r="A63" s="12" t="n">
        <v>62</v>
      </c>
      <c r="B63" s="13" t="n">
        <v>46323.8546412037</v>
      </c>
      <c r="C63" s="13" t="n">
        <v>46323.64630787037</v>
      </c>
      <c r="D63" s="13" t="n">
        <v>46323.81297453704</v>
      </c>
      <c r="E63" s="21" t="inlineStr">
        <is>
          <t>SELL</t>
        </is>
      </c>
      <c r="F63" s="6" t="inlineStr">
        <is>
          <t>MNST</t>
        </is>
      </c>
      <c r="G63" s="15" t="n"/>
      <c r="H63" s="6" t="n"/>
      <c r="I63" s="6" t="inlineStr">
        <is>
          <t>filled</t>
        </is>
      </c>
      <c r="J63" s="16" t="n">
        <v>184.54038504</v>
      </c>
      <c r="K63" s="17" t="n">
        <v>45.67</v>
      </c>
      <c r="L63" s="17">
        <f>IF(AND(ISNUMBER(J63),ISNUMBER(K63)),J63*K63,"")</f>
        <v/>
      </c>
      <c r="M63" s="17" t="n"/>
      <c r="N63" s="16" t="n">
        <v>184.54038504</v>
      </c>
      <c r="O63" s="6" t="inlineStr">
        <is>
          <t>evening under 5% (watchdog)</t>
        </is>
      </c>
      <c r="P63" s="15" t="inlineStr">
        <is>
          <t>Every-minute watchdog: evening rule, under +5% before the close</t>
        </is>
      </c>
      <c r="Q63" s="12" t="n"/>
      <c r="R63" s="6" t="n"/>
      <c r="S63" s="18" t="n"/>
      <c r="T63" s="12" t="n"/>
      <c r="U63" s="19" t="n"/>
      <c r="V63" s="19" t="n"/>
      <c r="W63" s="12" t="n"/>
      <c r="X63" s="6" t="n"/>
      <c r="Y63" s="19" t="n"/>
      <c r="Z63" s="6" t="n"/>
      <c r="AA63" s="12" t="n"/>
      <c r="AB63" s="15" t="n"/>
      <c r="AC63" s="6" t="n"/>
      <c r="AD63" s="6" t="n"/>
      <c r="AE63" s="17" t="n"/>
      <c r="AF63" s="17" t="n"/>
      <c r="AG63" s="17" t="n"/>
      <c r="AH63" s="20" t="n"/>
      <c r="AI63" s="18" t="n"/>
      <c r="AJ63" s="6" t="n"/>
      <c r="AK63" s="12" t="n"/>
      <c r="AL63" s="15" t="n"/>
      <c r="AM63" s="17" t="n"/>
      <c r="AN63" s="19" t="n"/>
      <c r="AO63" s="17" t="n"/>
      <c r="AP63" s="17" t="n"/>
      <c r="AQ63" s="19" t="n"/>
      <c r="AR63" s="16" t="n"/>
      <c r="AS63" s="17" t="n"/>
      <c r="AT63" s="19" t="n"/>
      <c r="AU63" s="6" t="inlineStr">
        <is>
          <t>paper</t>
        </is>
      </c>
      <c r="AV63" s="6" t="inlineStr">
        <is>
          <t>4738e0cb-2c25-4745-9f69-03c405f631f5</t>
        </is>
      </c>
      <c r="AW63" s="6" t="inlineStr">
        <is>
          <t>tdagent-wd-evening-MNST-1793215837443</t>
        </is>
      </c>
      <c r="AX63" s="13" t="n">
        <v>46323.81292824074</v>
      </c>
      <c r="AY63" s="13" t="n">
        <v>46323.81297453704</v>
      </c>
      <c r="AZ63" s="13" t="n"/>
      <c r="BA63" s="6" t="n"/>
    </row>
    <row r="64">
      <c r="A64" s="12" t="n">
        <v>63</v>
      </c>
      <c r="B64" s="13" t="n">
        <v>46323.85461805556</v>
      </c>
      <c r="C64" s="13" t="n">
        <v>46323.64628472222</v>
      </c>
      <c r="D64" s="13" t="n">
        <v>46323.81295138889</v>
      </c>
      <c r="E64" s="21" t="inlineStr">
        <is>
          <t>SELL</t>
        </is>
      </c>
      <c r="F64" s="6" t="inlineStr">
        <is>
          <t>MO</t>
        </is>
      </c>
      <c r="G64" s="15" t="n"/>
      <c r="H64" s="6" t="n"/>
      <c r="I64" s="6" t="inlineStr">
        <is>
          <t>filled</t>
        </is>
      </c>
      <c r="J64" s="16" t="n">
        <v>14.214489601</v>
      </c>
      <c r="K64" s="17" t="n">
        <v>73.23</v>
      </c>
      <c r="L64" s="17">
        <f>IF(AND(ISNUMBER(J64),ISNUMBER(K64)),J64*K64,"")</f>
        <v/>
      </c>
      <c r="M64" s="17" t="n"/>
      <c r="N64" s="16" t="n">
        <v>14.214489601</v>
      </c>
      <c r="O64" s="6" t="inlineStr">
        <is>
          <t>evening under 5% (watchdog)</t>
        </is>
      </c>
      <c r="P64" s="15" t="inlineStr">
        <is>
          <t>Every-minute watchdog: evening rule, under +5% before the close</t>
        </is>
      </c>
      <c r="Q64" s="12" t="n"/>
      <c r="R64" s="6" t="n"/>
      <c r="S64" s="18" t="n"/>
      <c r="T64" s="12" t="n"/>
      <c r="U64" s="19" t="n"/>
      <c r="V64" s="19" t="n"/>
      <c r="W64" s="12" t="n"/>
      <c r="X64" s="6" t="n"/>
      <c r="Y64" s="19" t="n"/>
      <c r="Z64" s="6" t="n"/>
      <c r="AA64" s="12" t="n"/>
      <c r="AB64" s="15" t="n"/>
      <c r="AC64" s="6" t="n"/>
      <c r="AD64" s="6" t="n"/>
      <c r="AE64" s="17" t="n"/>
      <c r="AF64" s="17" t="n"/>
      <c r="AG64" s="17" t="n"/>
      <c r="AH64" s="20" t="n"/>
      <c r="AI64" s="18" t="n"/>
      <c r="AJ64" s="6" t="n"/>
      <c r="AK64" s="12" t="n"/>
      <c r="AL64" s="15" t="n"/>
      <c r="AM64" s="17" t="n"/>
      <c r="AN64" s="19" t="n"/>
      <c r="AO64" s="17" t="n"/>
      <c r="AP64" s="17" t="n"/>
      <c r="AQ64" s="19" t="n"/>
      <c r="AR64" s="16" t="n"/>
      <c r="AS64" s="17" t="n"/>
      <c r="AT64" s="19" t="n"/>
      <c r="AU64" s="6" t="inlineStr">
        <is>
          <t>paper</t>
        </is>
      </c>
      <c r="AV64" s="6" t="inlineStr">
        <is>
          <t>c3ad0775-b864-4e0e-a442-53a048adc811</t>
        </is>
      </c>
      <c r="AW64" s="6" t="inlineStr">
        <is>
          <t>tdagent-wd-evening-MO-1793215838801</t>
        </is>
      </c>
      <c r="AX64" s="13" t="n">
        <v>46323.81293981482</v>
      </c>
      <c r="AY64" s="13" t="n">
        <v>46323.81295138889</v>
      </c>
      <c r="AZ64" s="13" t="n"/>
      <c r="BA64" s="6" t="n"/>
    </row>
    <row r="65">
      <c r="A65" s="12" t="n">
        <v>64</v>
      </c>
      <c r="B65" s="13" t="n">
        <v>46323.85462962963</v>
      </c>
      <c r="C65" s="13" t="n">
        <v>46323.6462962963</v>
      </c>
      <c r="D65" s="13" t="n">
        <v>46323.81296296296</v>
      </c>
      <c r="E65" s="21" t="inlineStr">
        <is>
          <t>SELL</t>
        </is>
      </c>
      <c r="F65" s="6" t="inlineStr">
        <is>
          <t>MPC</t>
        </is>
      </c>
      <c r="G65" s="15" t="n"/>
      <c r="H65" s="6" t="n"/>
      <c r="I65" s="6" t="inlineStr">
        <is>
          <t>filled</t>
        </is>
      </c>
      <c r="J65" s="16" t="n">
        <v>0.19946772</v>
      </c>
      <c r="K65" s="17" t="n">
        <v>442.04</v>
      </c>
      <c r="L65" s="17">
        <f>IF(AND(ISNUMBER(J65),ISNUMBER(K65)),J65*K65,"")</f>
        <v/>
      </c>
      <c r="M65" s="17" t="n"/>
      <c r="N65" s="16" t="n">
        <v>0.19946772</v>
      </c>
      <c r="O65" s="6" t="inlineStr">
        <is>
          <t>evening under 5% (watchdog)</t>
        </is>
      </c>
      <c r="P65" s="15" t="inlineStr">
        <is>
          <t>Every-minute watchdog: evening rule, under +5% before the close</t>
        </is>
      </c>
      <c r="Q65" s="12" t="n"/>
      <c r="R65" s="6" t="n"/>
      <c r="S65" s="18" t="n"/>
      <c r="T65" s="12" t="n"/>
      <c r="U65" s="19" t="n"/>
      <c r="V65" s="19" t="n"/>
      <c r="W65" s="12" t="n"/>
      <c r="X65" s="6" t="n"/>
      <c r="Y65" s="19" t="n"/>
      <c r="Z65" s="6" t="n"/>
      <c r="AA65" s="12" t="n"/>
      <c r="AB65" s="15" t="n"/>
      <c r="AC65" s="6" t="n"/>
      <c r="AD65" s="6" t="n"/>
      <c r="AE65" s="17" t="n"/>
      <c r="AF65" s="17" t="n"/>
      <c r="AG65" s="17" t="n"/>
      <c r="AH65" s="20" t="n"/>
      <c r="AI65" s="18" t="n"/>
      <c r="AJ65" s="6" t="n"/>
      <c r="AK65" s="12" t="n"/>
      <c r="AL65" s="15" t="n"/>
      <c r="AM65" s="17" t="n"/>
      <c r="AN65" s="19" t="n"/>
      <c r="AO65" s="17" t="n"/>
      <c r="AP65" s="17" t="n"/>
      <c r="AQ65" s="19" t="n"/>
      <c r="AR65" s="16" t="n"/>
      <c r="AS65" s="17" t="n"/>
      <c r="AT65" s="19" t="n"/>
      <c r="AU65" s="6" t="inlineStr">
        <is>
          <t>paper</t>
        </is>
      </c>
      <c r="AV65" s="6" t="inlineStr">
        <is>
          <t>1f0db5c0-bbf7-4a79-adad-ddc5fe2a6212</t>
        </is>
      </c>
      <c r="AW65" s="6" t="inlineStr">
        <is>
          <t>tdagent-wd-evening-MPC-1793215840170</t>
        </is>
      </c>
      <c r="AX65" s="13" t="n">
        <v>46323.81296296296</v>
      </c>
      <c r="AY65" s="13" t="n">
        <v>46323.81296296296</v>
      </c>
      <c r="AZ65" s="13" t="n"/>
      <c r="BA65" s="6" t="n"/>
    </row>
    <row r="66">
      <c r="A66" s="12" t="n">
        <v>65</v>
      </c>
      <c r="B66" s="13" t="n">
        <v>46323.85466435185</v>
      </c>
      <c r="C66" s="13" t="n">
        <v>46323.64633101852</v>
      </c>
      <c r="D66" s="13" t="n">
        <v>46323.81299768519</v>
      </c>
      <c r="E66" s="21" t="inlineStr">
        <is>
          <t>SELL</t>
        </is>
      </c>
      <c r="F66" s="6" t="inlineStr">
        <is>
          <t>NTRA</t>
        </is>
      </c>
      <c r="G66" s="15" t="n"/>
      <c r="H66" s="6" t="n"/>
      <c r="I66" s="6" t="inlineStr">
        <is>
          <t>filled</t>
        </is>
      </c>
      <c r="J66" s="16" t="n">
        <v>2.434491107</v>
      </c>
      <c r="K66" s="17" t="n">
        <v>427.12</v>
      </c>
      <c r="L66" s="17">
        <f>IF(AND(ISNUMBER(J66),ISNUMBER(K66)),J66*K66,"")</f>
        <v/>
      </c>
      <c r="M66" s="17" t="n"/>
      <c r="N66" s="16" t="n">
        <v>2.434491107</v>
      </c>
      <c r="O66" s="6" t="inlineStr">
        <is>
          <t>evening under 5% (watchdog)</t>
        </is>
      </c>
      <c r="P66" s="15" t="inlineStr">
        <is>
          <t>Every-minute watchdog: evening rule, under +5% before the close</t>
        </is>
      </c>
      <c r="Q66" s="12" t="n"/>
      <c r="R66" s="6" t="n"/>
      <c r="S66" s="18" t="n"/>
      <c r="T66" s="12" t="n"/>
      <c r="U66" s="19" t="n"/>
      <c r="V66" s="19" t="n"/>
      <c r="W66" s="12" t="n"/>
      <c r="X66" s="6" t="n"/>
      <c r="Y66" s="19" t="n"/>
      <c r="Z66" s="6" t="n"/>
      <c r="AA66" s="12" t="n"/>
      <c r="AB66" s="15" t="n"/>
      <c r="AC66" s="6" t="n"/>
      <c r="AD66" s="6" t="n"/>
      <c r="AE66" s="17" t="n"/>
      <c r="AF66" s="17" t="n"/>
      <c r="AG66" s="17" t="n"/>
      <c r="AH66" s="20" t="n"/>
      <c r="AI66" s="18" t="n"/>
      <c r="AJ66" s="6" t="n"/>
      <c r="AK66" s="12" t="n"/>
      <c r="AL66" s="15" t="n"/>
      <c r="AM66" s="17" t="n"/>
      <c r="AN66" s="19" t="n"/>
      <c r="AO66" s="17" t="n"/>
      <c r="AP66" s="17" t="n"/>
      <c r="AQ66" s="19" t="n"/>
      <c r="AR66" s="16" t="n"/>
      <c r="AS66" s="17" t="n"/>
      <c r="AT66" s="19" t="n"/>
      <c r="AU66" s="6" t="inlineStr">
        <is>
          <t>paper</t>
        </is>
      </c>
      <c r="AV66" s="6" t="inlineStr">
        <is>
          <t>296a097e-6f40-4873-b358-c3ec6cb2e91d</t>
        </is>
      </c>
      <c r="AW66" s="6" t="inlineStr">
        <is>
          <t>tdagent-wd-evening-NTRA-1793215841512</t>
        </is>
      </c>
      <c r="AX66" s="13" t="n">
        <v>46323.81297453704</v>
      </c>
      <c r="AY66" s="13" t="n">
        <v>46323.81299768519</v>
      </c>
      <c r="AZ66" s="13" t="n"/>
      <c r="BA66" s="6" t="n"/>
    </row>
    <row r="67">
      <c r="A67" s="12" t="n">
        <v>66</v>
      </c>
      <c r="B67" s="13" t="n">
        <v>46323.85467592593</v>
      </c>
      <c r="C67" s="13" t="n">
        <v>46323.64634259259</v>
      </c>
      <c r="D67" s="13" t="n">
        <v>46323.81300925926</v>
      </c>
      <c r="E67" s="21" t="inlineStr">
        <is>
          <t>SELL</t>
        </is>
      </c>
      <c r="F67" s="6" t="inlineStr">
        <is>
          <t>OXY</t>
        </is>
      </c>
      <c r="G67" s="15" t="n"/>
      <c r="H67" s="6" t="n"/>
      <c r="I67" s="6" t="inlineStr">
        <is>
          <t>filled</t>
        </is>
      </c>
      <c r="J67" s="16" t="n">
        <v>132.295201779</v>
      </c>
      <c r="K67" s="17" t="n">
        <v>63.186349</v>
      </c>
      <c r="L67" s="17">
        <f>IF(AND(ISNUMBER(J67),ISNUMBER(K67)),J67*K67,"")</f>
        <v/>
      </c>
      <c r="M67" s="17" t="n"/>
      <c r="N67" s="16" t="n">
        <v>132.295201779</v>
      </c>
      <c r="O67" s="6" t="inlineStr">
        <is>
          <t>evening under 5% (watchdog)</t>
        </is>
      </c>
      <c r="P67" s="15" t="inlineStr">
        <is>
          <t>Every-minute watchdog: evening rule, under +5% before the close</t>
        </is>
      </c>
      <c r="Q67" s="12" t="n"/>
      <c r="R67" s="6" t="n"/>
      <c r="S67" s="18" t="n"/>
      <c r="T67" s="12" t="n"/>
      <c r="U67" s="19" t="n"/>
      <c r="V67" s="19" t="n"/>
      <c r="W67" s="12" t="n"/>
      <c r="X67" s="6" t="n"/>
      <c r="Y67" s="19" t="n"/>
      <c r="Z67" s="6" t="n"/>
      <c r="AA67" s="12" t="n"/>
      <c r="AB67" s="15" t="n"/>
      <c r="AC67" s="6" t="n"/>
      <c r="AD67" s="6" t="n"/>
      <c r="AE67" s="17" t="n"/>
      <c r="AF67" s="17" t="n"/>
      <c r="AG67" s="17" t="n"/>
      <c r="AH67" s="20" t="n"/>
      <c r="AI67" s="18" t="n"/>
      <c r="AJ67" s="6" t="n"/>
      <c r="AK67" s="12" t="n"/>
      <c r="AL67" s="15" t="n"/>
      <c r="AM67" s="17" t="n"/>
      <c r="AN67" s="19" t="n"/>
      <c r="AO67" s="17" t="n"/>
      <c r="AP67" s="17" t="n"/>
      <c r="AQ67" s="19" t="n"/>
      <c r="AR67" s="16" t="n"/>
      <c r="AS67" s="17" t="n"/>
      <c r="AT67" s="19" t="n"/>
      <c r="AU67" s="6" t="inlineStr">
        <is>
          <t>paper</t>
        </is>
      </c>
      <c r="AV67" s="6" t="inlineStr">
        <is>
          <t>e7f04beb-2d54-4819-b1af-8900d56301f5</t>
        </is>
      </c>
      <c r="AW67" s="6" t="inlineStr">
        <is>
          <t>tdagent-wd-evening-OXY-1793215842873</t>
        </is>
      </c>
      <c r="AX67" s="13" t="n">
        <v>46323.81299768519</v>
      </c>
      <c r="AY67" s="13" t="n">
        <v>46323.81300925926</v>
      </c>
      <c r="AZ67" s="13" t="n"/>
      <c r="BA67" s="6" t="n"/>
    </row>
    <row r="68">
      <c r="A68" s="12" t="n">
        <v>67</v>
      </c>
      <c r="B68" s="13" t="n">
        <v>46323.85472222222</v>
      </c>
      <c r="C68" s="13" t="n">
        <v>46323.64638888889</v>
      </c>
      <c r="D68" s="13" t="n">
        <v>46323.81305555555</v>
      </c>
      <c r="E68" s="21" t="inlineStr">
        <is>
          <t>SELL</t>
        </is>
      </c>
      <c r="F68" s="6" t="inlineStr">
        <is>
          <t>PBR.A</t>
        </is>
      </c>
      <c r="G68" s="15" t="n"/>
      <c r="H68" s="6" t="n"/>
      <c r="I68" s="6" t="inlineStr">
        <is>
          <t>filled</t>
        </is>
      </c>
      <c r="J68" s="16" t="n">
        <v>211.579533941</v>
      </c>
      <c r="K68" s="17" t="n">
        <v>19.779925</v>
      </c>
      <c r="L68" s="17">
        <f>IF(AND(ISNUMBER(J68),ISNUMBER(K68)),J68*K68,"")</f>
        <v/>
      </c>
      <c r="M68" s="17" t="n"/>
      <c r="N68" s="16" t="n">
        <v>211.579533941</v>
      </c>
      <c r="O68" s="6" t="inlineStr">
        <is>
          <t>evening under 5% (watchdog)</t>
        </is>
      </c>
      <c r="P68" s="15" t="inlineStr">
        <is>
          <t>Every-minute watchdog: evening rule, under +5% before the close</t>
        </is>
      </c>
      <c r="Q68" s="12" t="n"/>
      <c r="R68" s="6" t="n"/>
      <c r="S68" s="18" t="n"/>
      <c r="T68" s="12" t="n"/>
      <c r="U68" s="19" t="n"/>
      <c r="V68" s="19" t="n"/>
      <c r="W68" s="12" t="n"/>
      <c r="X68" s="6" t="n"/>
      <c r="Y68" s="19" t="n"/>
      <c r="Z68" s="6" t="n"/>
      <c r="AA68" s="12" t="n"/>
      <c r="AB68" s="15" t="n"/>
      <c r="AC68" s="6" t="n"/>
      <c r="AD68" s="6" t="n"/>
      <c r="AE68" s="17" t="n"/>
      <c r="AF68" s="17" t="n"/>
      <c r="AG68" s="17" t="n"/>
      <c r="AH68" s="20" t="n"/>
      <c r="AI68" s="18" t="n"/>
      <c r="AJ68" s="6" t="n"/>
      <c r="AK68" s="12" t="n"/>
      <c r="AL68" s="15" t="n"/>
      <c r="AM68" s="17" t="n"/>
      <c r="AN68" s="19" t="n"/>
      <c r="AO68" s="17" t="n"/>
      <c r="AP68" s="17" t="n"/>
      <c r="AQ68" s="19" t="n"/>
      <c r="AR68" s="16" t="n"/>
      <c r="AS68" s="17" t="n"/>
      <c r="AT68" s="19" t="n"/>
      <c r="AU68" s="6" t="inlineStr">
        <is>
          <t>paper</t>
        </is>
      </c>
      <c r="AV68" s="6" t="inlineStr">
        <is>
          <t>59c7a439-754b-4dab-ac2c-45cf18aea1e0</t>
        </is>
      </c>
      <c r="AW68" s="6" t="inlineStr">
        <is>
          <t>tdagent-wd-evening-PBR.A-1793215844413</t>
        </is>
      </c>
      <c r="AX68" s="13" t="n">
        <v>46323.81300925926</v>
      </c>
      <c r="AY68" s="13" t="n">
        <v>46323.81305555555</v>
      </c>
      <c r="AZ68" s="13" t="n"/>
      <c r="BA68" s="6" t="n"/>
    </row>
    <row r="69">
      <c r="A69" s="12" t="n">
        <v>68</v>
      </c>
      <c r="B69" s="13" t="n">
        <v>46323.8546875</v>
      </c>
      <c r="C69" s="13" t="n">
        <v>46323.64635416667</v>
      </c>
      <c r="D69" s="13" t="n">
        <v>46323.81302083333</v>
      </c>
      <c r="E69" s="21" t="inlineStr">
        <is>
          <t>SELL</t>
        </is>
      </c>
      <c r="F69" s="6" t="inlineStr">
        <is>
          <t>PSX</t>
        </is>
      </c>
      <c r="G69" s="15" t="n"/>
      <c r="H69" s="6" t="n"/>
      <c r="I69" s="6" t="inlineStr">
        <is>
          <t>filled</t>
        </is>
      </c>
      <c r="J69" s="16" t="n">
        <v>0.323158986</v>
      </c>
      <c r="K69" s="17" t="n">
        <v>273.476</v>
      </c>
      <c r="L69" s="17">
        <f>IF(AND(ISNUMBER(J69),ISNUMBER(K69)),J69*K69,"")</f>
        <v/>
      </c>
      <c r="M69" s="17" t="n"/>
      <c r="N69" s="16" t="n">
        <v>0.323158986</v>
      </c>
      <c r="O69" s="6" t="inlineStr">
        <is>
          <t>evening under 5% (watchdog)</t>
        </is>
      </c>
      <c r="P69" s="15" t="inlineStr">
        <is>
          <t>Every-minute watchdog: evening rule, under +5% before the close</t>
        </is>
      </c>
      <c r="Q69" s="12" t="n"/>
      <c r="R69" s="6" t="n"/>
      <c r="S69" s="18" t="n"/>
      <c r="T69" s="12" t="n"/>
      <c r="U69" s="19" t="n"/>
      <c r="V69" s="19" t="n"/>
      <c r="W69" s="12" t="n"/>
      <c r="X69" s="6" t="n"/>
      <c r="Y69" s="19" t="n"/>
      <c r="Z69" s="6" t="n"/>
      <c r="AA69" s="12" t="n"/>
      <c r="AB69" s="15" t="n"/>
      <c r="AC69" s="6" t="n"/>
      <c r="AD69" s="6" t="n"/>
      <c r="AE69" s="17" t="n"/>
      <c r="AF69" s="17" t="n"/>
      <c r="AG69" s="17" t="n"/>
      <c r="AH69" s="20" t="n"/>
      <c r="AI69" s="18" t="n"/>
      <c r="AJ69" s="6" t="n"/>
      <c r="AK69" s="12" t="n"/>
      <c r="AL69" s="15" t="n"/>
      <c r="AM69" s="17" t="n"/>
      <c r="AN69" s="19" t="n"/>
      <c r="AO69" s="17" t="n"/>
      <c r="AP69" s="17" t="n"/>
      <c r="AQ69" s="19" t="n"/>
      <c r="AR69" s="16" t="n"/>
      <c r="AS69" s="17" t="n"/>
      <c r="AT69" s="19" t="n"/>
      <c r="AU69" s="6" t="inlineStr">
        <is>
          <t>paper</t>
        </is>
      </c>
      <c r="AV69" s="6" t="inlineStr">
        <is>
          <t>9d75ff07-7e08-4f59-be02-9900eaae6063</t>
        </is>
      </c>
      <c r="AW69" s="6" t="inlineStr">
        <is>
          <t>tdagent-wd-evening-PSX-1793215845765</t>
        </is>
      </c>
      <c r="AX69" s="13" t="n">
        <v>46323.81302083333</v>
      </c>
      <c r="AY69" s="13" t="n">
        <v>46323.81302083333</v>
      </c>
      <c r="AZ69" s="13" t="n"/>
      <c r="BA69" s="6" t="n"/>
    </row>
    <row r="70">
      <c r="A70" s="12" t="n">
        <v>69</v>
      </c>
      <c r="B70" s="13" t="n">
        <v>46323.85471064815</v>
      </c>
      <c r="C70" s="13" t="n">
        <v>46323.64637731481</v>
      </c>
      <c r="D70" s="13" t="n">
        <v>46323.81304398148</v>
      </c>
      <c r="E70" s="21" t="inlineStr">
        <is>
          <t>SELL</t>
        </is>
      </c>
      <c r="F70" s="6" t="inlineStr">
        <is>
          <t>REGN</t>
        </is>
      </c>
      <c r="G70" s="15" t="n"/>
      <c r="H70" s="6" t="n"/>
      <c r="I70" s="6" t="inlineStr">
        <is>
          <t>filled</t>
        </is>
      </c>
      <c r="J70" s="16" t="n">
        <v>0.083680668</v>
      </c>
      <c r="K70" s="17" t="n">
        <v>810.48</v>
      </c>
      <c r="L70" s="17">
        <f>IF(AND(ISNUMBER(J70),ISNUMBER(K70)),J70*K70,"")</f>
        <v/>
      </c>
      <c r="M70" s="17" t="n"/>
      <c r="N70" s="16" t="n">
        <v>0.083680668</v>
      </c>
      <c r="O70" s="6" t="inlineStr">
        <is>
          <t>evening under 5% (watchdog)</t>
        </is>
      </c>
      <c r="P70" s="15" t="inlineStr">
        <is>
          <t>Every-minute watchdog: evening rule, under +5% before the close</t>
        </is>
      </c>
      <c r="Q70" s="12" t="n"/>
      <c r="R70" s="6" t="n"/>
      <c r="S70" s="18" t="n"/>
      <c r="T70" s="12" t="n"/>
      <c r="U70" s="19" t="n"/>
      <c r="V70" s="19" t="n"/>
      <c r="W70" s="12" t="n"/>
      <c r="X70" s="6" t="n"/>
      <c r="Y70" s="19" t="n"/>
      <c r="Z70" s="6" t="n"/>
      <c r="AA70" s="12" t="n"/>
      <c r="AB70" s="15" t="n"/>
      <c r="AC70" s="6" t="n"/>
      <c r="AD70" s="6" t="n"/>
      <c r="AE70" s="17" t="n"/>
      <c r="AF70" s="17" t="n"/>
      <c r="AG70" s="17" t="n"/>
      <c r="AH70" s="20" t="n"/>
      <c r="AI70" s="18" t="n"/>
      <c r="AJ70" s="6" t="n"/>
      <c r="AK70" s="12" t="n"/>
      <c r="AL70" s="15" t="n"/>
      <c r="AM70" s="17" t="n"/>
      <c r="AN70" s="19" t="n"/>
      <c r="AO70" s="17" t="n"/>
      <c r="AP70" s="17" t="n"/>
      <c r="AQ70" s="19" t="n"/>
      <c r="AR70" s="16" t="n"/>
      <c r="AS70" s="17" t="n"/>
      <c r="AT70" s="19" t="n"/>
      <c r="AU70" s="6" t="inlineStr">
        <is>
          <t>paper</t>
        </is>
      </c>
      <c r="AV70" s="6" t="inlineStr">
        <is>
          <t>f7ccdc37-ea56-4dcf-b793-2e2d754c5388</t>
        </is>
      </c>
      <c r="AW70" s="6" t="inlineStr">
        <is>
          <t>tdagent-wd-evening-REGN-1793215847104</t>
        </is>
      </c>
      <c r="AX70" s="13" t="n">
        <v>46323.81304398148</v>
      </c>
      <c r="AY70" s="13" t="n">
        <v>46323.81304398148</v>
      </c>
      <c r="AZ70" s="13" t="n"/>
      <c r="BA70" s="6" t="n"/>
    </row>
    <row r="71">
      <c r="A71" s="12" t="n">
        <v>70</v>
      </c>
      <c r="B71" s="13" t="n">
        <v>46323.85476851852</v>
      </c>
      <c r="C71" s="13" t="n">
        <v>46323.64643518518</v>
      </c>
      <c r="D71" s="13" t="n">
        <v>46323.81310185185</v>
      </c>
      <c r="E71" s="21" t="inlineStr">
        <is>
          <t>SELL</t>
        </is>
      </c>
      <c r="F71" s="6" t="inlineStr">
        <is>
          <t>SHEL</t>
        </is>
      </c>
      <c r="G71" s="15" t="n"/>
      <c r="H71" s="6" t="n"/>
      <c r="I71" s="6" t="inlineStr">
        <is>
          <t>filled</t>
        </is>
      </c>
      <c r="J71" s="16" t="n">
        <v>79.375047619</v>
      </c>
      <c r="K71" s="17" t="n">
        <v>105.486426</v>
      </c>
      <c r="L71" s="17">
        <f>IF(AND(ISNUMBER(J71),ISNUMBER(K71)),J71*K71,"")</f>
        <v/>
      </c>
      <c r="M71" s="17" t="n"/>
      <c r="N71" s="16" t="n">
        <v>79.375047619</v>
      </c>
      <c r="O71" s="6" t="inlineStr">
        <is>
          <t>evening under 5% (watchdog)</t>
        </is>
      </c>
      <c r="P71" s="15" t="inlineStr">
        <is>
          <t>Every-minute watchdog: evening rule, under +5% before the close</t>
        </is>
      </c>
      <c r="Q71" s="12" t="n"/>
      <c r="R71" s="6" t="n"/>
      <c r="S71" s="18" t="n"/>
      <c r="T71" s="12" t="n"/>
      <c r="U71" s="19" t="n"/>
      <c r="V71" s="19" t="n"/>
      <c r="W71" s="12" t="n"/>
      <c r="X71" s="6" t="n"/>
      <c r="Y71" s="19" t="n"/>
      <c r="Z71" s="6" t="n"/>
      <c r="AA71" s="12" t="n"/>
      <c r="AB71" s="15" t="n"/>
      <c r="AC71" s="6" t="n"/>
      <c r="AD71" s="6" t="n"/>
      <c r="AE71" s="17" t="n"/>
      <c r="AF71" s="17" t="n"/>
      <c r="AG71" s="17" t="n"/>
      <c r="AH71" s="20" t="n"/>
      <c r="AI71" s="18" t="n"/>
      <c r="AJ71" s="6" t="n"/>
      <c r="AK71" s="12" t="n"/>
      <c r="AL71" s="15" t="n"/>
      <c r="AM71" s="17" t="n"/>
      <c r="AN71" s="19" t="n"/>
      <c r="AO71" s="17" t="n"/>
      <c r="AP71" s="17" t="n"/>
      <c r="AQ71" s="19" t="n"/>
      <c r="AR71" s="16" t="n"/>
      <c r="AS71" s="17" t="n"/>
      <c r="AT71" s="19" t="n"/>
      <c r="AU71" s="6" t="inlineStr">
        <is>
          <t>paper</t>
        </is>
      </c>
      <c r="AV71" s="6" t="inlineStr">
        <is>
          <t>4f273e09-685f-45ff-8b93-5289151b596c</t>
        </is>
      </c>
      <c r="AW71" s="6" t="inlineStr">
        <is>
          <t>tdagent-wd-evening-SHEL-1793215848475</t>
        </is>
      </c>
      <c r="AX71" s="13" t="n">
        <v>46323.81305555555</v>
      </c>
      <c r="AY71" s="13" t="n">
        <v>46323.81310185185</v>
      </c>
      <c r="AZ71" s="13" t="n"/>
      <c r="BA71" s="6" t="n"/>
    </row>
    <row r="72">
      <c r="A72" s="12" t="n">
        <v>71</v>
      </c>
      <c r="B72" s="13" t="n">
        <v>46323.85474537037</v>
      </c>
      <c r="C72" s="13" t="n">
        <v>46323.64641203704</v>
      </c>
      <c r="D72" s="13" t="n">
        <v>46323.8130787037</v>
      </c>
      <c r="E72" s="21" t="inlineStr">
        <is>
          <t>SELL</t>
        </is>
      </c>
      <c r="F72" s="6" t="inlineStr">
        <is>
          <t>SO</t>
        </is>
      </c>
      <c r="G72" s="15" t="n"/>
      <c r="H72" s="6" t="n"/>
      <c r="I72" s="6" t="inlineStr">
        <is>
          <t>filled</t>
        </is>
      </c>
      <c r="J72" s="16" t="n">
        <v>1.348382763</v>
      </c>
      <c r="K72" s="17" t="n">
        <v>91.59999999999999</v>
      </c>
      <c r="L72" s="17">
        <f>IF(AND(ISNUMBER(J72),ISNUMBER(K72)),J72*K72,"")</f>
        <v/>
      </c>
      <c r="M72" s="17" t="n"/>
      <c r="N72" s="16" t="n">
        <v>1.348382763</v>
      </c>
      <c r="O72" s="6" t="inlineStr">
        <is>
          <t>evening under 5% (watchdog)</t>
        </is>
      </c>
      <c r="P72" s="15" t="inlineStr">
        <is>
          <t>Every-minute watchdog: evening rule, under +5% before the close</t>
        </is>
      </c>
      <c r="Q72" s="12" t="n"/>
      <c r="R72" s="6" t="n"/>
      <c r="S72" s="18" t="n"/>
      <c r="T72" s="12" t="n"/>
      <c r="U72" s="19" t="n"/>
      <c r="V72" s="19" t="n"/>
      <c r="W72" s="12" t="n"/>
      <c r="X72" s="6" t="n"/>
      <c r="Y72" s="19" t="n"/>
      <c r="Z72" s="6" t="n"/>
      <c r="AA72" s="12" t="n"/>
      <c r="AB72" s="15" t="n"/>
      <c r="AC72" s="6" t="n"/>
      <c r="AD72" s="6" t="n"/>
      <c r="AE72" s="17" t="n"/>
      <c r="AF72" s="17" t="n"/>
      <c r="AG72" s="17" t="n"/>
      <c r="AH72" s="20" t="n"/>
      <c r="AI72" s="18" t="n"/>
      <c r="AJ72" s="6" t="n"/>
      <c r="AK72" s="12" t="n"/>
      <c r="AL72" s="15" t="n"/>
      <c r="AM72" s="17" t="n"/>
      <c r="AN72" s="19" t="n"/>
      <c r="AO72" s="17" t="n"/>
      <c r="AP72" s="17" t="n"/>
      <c r="AQ72" s="19" t="n"/>
      <c r="AR72" s="16" t="n"/>
      <c r="AS72" s="17" t="n"/>
      <c r="AT72" s="19" t="n"/>
      <c r="AU72" s="6" t="inlineStr">
        <is>
          <t>paper</t>
        </is>
      </c>
      <c r="AV72" s="6" t="inlineStr">
        <is>
          <t>e928c244-9f2a-49be-9037-96375011a7e7</t>
        </is>
      </c>
      <c r="AW72" s="6" t="inlineStr">
        <is>
          <t>tdagent-wd-evening-SO-1793215849828</t>
        </is>
      </c>
      <c r="AX72" s="13" t="n">
        <v>46323.81306712963</v>
      </c>
      <c r="AY72" s="13" t="n">
        <v>46323.8130787037</v>
      </c>
      <c r="AZ72" s="13" t="n"/>
      <c r="BA72" s="6" t="n"/>
    </row>
    <row r="73">
      <c r="A73" s="12" t="n">
        <v>72</v>
      </c>
      <c r="B73" s="13" t="n">
        <v>46323.85476851852</v>
      </c>
      <c r="C73" s="13" t="n">
        <v>46323.64643518518</v>
      </c>
      <c r="D73" s="13" t="n">
        <v>46323.81310185185</v>
      </c>
      <c r="E73" s="21" t="inlineStr">
        <is>
          <t>SELL</t>
        </is>
      </c>
      <c r="F73" s="6" t="inlineStr">
        <is>
          <t>TMO</t>
        </is>
      </c>
      <c r="G73" s="15" t="n"/>
      <c r="H73" s="6" t="n"/>
      <c r="I73" s="6" t="inlineStr">
        <is>
          <t>filled</t>
        </is>
      </c>
      <c r="J73" s="16" t="n">
        <v>11.937064238</v>
      </c>
      <c r="K73" s="17" t="n">
        <v>705.6</v>
      </c>
      <c r="L73" s="17">
        <f>IF(AND(ISNUMBER(J73),ISNUMBER(K73)),J73*K73,"")</f>
        <v/>
      </c>
      <c r="M73" s="17" t="n"/>
      <c r="N73" s="16" t="n">
        <v>11.937064238</v>
      </c>
      <c r="O73" s="6" t="inlineStr">
        <is>
          <t>evening under 5% (watchdog)</t>
        </is>
      </c>
      <c r="P73" s="15" t="inlineStr">
        <is>
          <t>Every-minute watchdog: evening rule, under +5% before the close</t>
        </is>
      </c>
      <c r="Q73" s="12" t="n"/>
      <c r="R73" s="6" t="n"/>
      <c r="S73" s="18" t="n"/>
      <c r="T73" s="12" t="n"/>
      <c r="U73" s="19" t="n"/>
      <c r="V73" s="19" t="n"/>
      <c r="W73" s="12" t="n"/>
      <c r="X73" s="6" t="n"/>
      <c r="Y73" s="19" t="n"/>
      <c r="Z73" s="6" t="n"/>
      <c r="AA73" s="12" t="n"/>
      <c r="AB73" s="15" t="n"/>
      <c r="AC73" s="6" t="n"/>
      <c r="AD73" s="6" t="n"/>
      <c r="AE73" s="17" t="n"/>
      <c r="AF73" s="17" t="n"/>
      <c r="AG73" s="17" t="n"/>
      <c r="AH73" s="20" t="n"/>
      <c r="AI73" s="18" t="n"/>
      <c r="AJ73" s="6" t="n"/>
      <c r="AK73" s="12" t="n"/>
      <c r="AL73" s="15" t="n"/>
      <c r="AM73" s="17" t="n"/>
      <c r="AN73" s="19" t="n"/>
      <c r="AO73" s="17" t="n"/>
      <c r="AP73" s="17" t="n"/>
      <c r="AQ73" s="19" t="n"/>
      <c r="AR73" s="16" t="n"/>
      <c r="AS73" s="17" t="n"/>
      <c r="AT73" s="19" t="n"/>
      <c r="AU73" s="6" t="inlineStr">
        <is>
          <t>paper</t>
        </is>
      </c>
      <c r="AV73" s="6" t="inlineStr">
        <is>
          <t>d0b9b04c-efbc-45ee-a684-634fe792ccb0</t>
        </is>
      </c>
      <c r="AW73" s="6" t="inlineStr">
        <is>
          <t>tdagent-wd-evening-TMO-1793215851174</t>
        </is>
      </c>
      <c r="AX73" s="13" t="n">
        <v>46323.81309027778</v>
      </c>
      <c r="AY73" s="13" t="n">
        <v>46323.81310185185</v>
      </c>
      <c r="AZ73" s="13" t="n"/>
      <c r="BA73" s="6" t="n"/>
    </row>
    <row r="74">
      <c r="A74" s="12" t="n">
        <v>73</v>
      </c>
      <c r="B74" s="13" t="n">
        <v>46323.8547800926</v>
      </c>
      <c r="C74" s="13" t="n">
        <v>46323.64644675926</v>
      </c>
      <c r="D74" s="13" t="n">
        <v>46323.81311342592</v>
      </c>
      <c r="E74" s="21" t="inlineStr">
        <is>
          <t>SELL</t>
        </is>
      </c>
      <c r="F74" s="6" t="inlineStr">
        <is>
          <t>UTHR</t>
        </is>
      </c>
      <c r="G74" s="15" t="n"/>
      <c r="H74" s="6" t="n"/>
      <c r="I74" s="6" t="inlineStr">
        <is>
          <t>filled</t>
        </is>
      </c>
      <c r="J74" s="16" t="n">
        <v>7.111731176</v>
      </c>
      <c r="K74" s="17" t="n">
        <v>584.76</v>
      </c>
      <c r="L74" s="17">
        <f>IF(AND(ISNUMBER(J74),ISNUMBER(K74)),J74*K74,"")</f>
        <v/>
      </c>
      <c r="M74" s="17" t="n"/>
      <c r="N74" s="16" t="n">
        <v>7.111731176</v>
      </c>
      <c r="O74" s="6" t="inlineStr">
        <is>
          <t>evening under 5% (watchdog)</t>
        </is>
      </c>
      <c r="P74" s="15" t="inlineStr">
        <is>
          <t>Every-minute watchdog: evening rule, under +5% before the close</t>
        </is>
      </c>
      <c r="Q74" s="12" t="n"/>
      <c r="R74" s="6" t="n"/>
      <c r="S74" s="18" t="n"/>
      <c r="T74" s="12" t="n"/>
      <c r="U74" s="19" t="n"/>
      <c r="V74" s="19" t="n"/>
      <c r="W74" s="12" t="n"/>
      <c r="X74" s="6" t="n"/>
      <c r="Y74" s="19" t="n"/>
      <c r="Z74" s="6" t="n"/>
      <c r="AA74" s="12" t="n"/>
      <c r="AB74" s="15" t="n"/>
      <c r="AC74" s="6" t="n"/>
      <c r="AD74" s="6" t="n"/>
      <c r="AE74" s="17" t="n"/>
      <c r="AF74" s="17" t="n"/>
      <c r="AG74" s="17" t="n"/>
      <c r="AH74" s="20" t="n"/>
      <c r="AI74" s="18" t="n"/>
      <c r="AJ74" s="6" t="n"/>
      <c r="AK74" s="12" t="n"/>
      <c r="AL74" s="15" t="n"/>
      <c r="AM74" s="17" t="n"/>
      <c r="AN74" s="19" t="n"/>
      <c r="AO74" s="17" t="n"/>
      <c r="AP74" s="17" t="n"/>
      <c r="AQ74" s="19" t="n"/>
      <c r="AR74" s="16" t="n"/>
      <c r="AS74" s="17" t="n"/>
      <c r="AT74" s="19" t="n"/>
      <c r="AU74" s="6" t="inlineStr">
        <is>
          <t>paper</t>
        </is>
      </c>
      <c r="AV74" s="6" t="inlineStr">
        <is>
          <t>8b0a7b04-ea32-44e6-b0fb-6e7acef961bf</t>
        </is>
      </c>
      <c r="AW74" s="6" t="inlineStr">
        <is>
          <t>tdagent-wd-evening-UTHR-1793215852531</t>
        </is>
      </c>
      <c r="AX74" s="13" t="n">
        <v>46323.81310185185</v>
      </c>
      <c r="AY74" s="13" t="n">
        <v>46323.81311342592</v>
      </c>
      <c r="AZ74" s="13" t="n"/>
      <c r="BA74" s="6" t="n"/>
    </row>
    <row r="75">
      <c r="A75" s="12" t="n">
        <v>74</v>
      </c>
      <c r="B75" s="13" t="n">
        <v>46323.85480324074</v>
      </c>
      <c r="C75" s="13" t="n">
        <v>46323.64646990741</v>
      </c>
      <c r="D75" s="13" t="n">
        <v>46323.81313657408</v>
      </c>
      <c r="E75" s="21" t="inlineStr">
        <is>
          <t>SELL</t>
        </is>
      </c>
      <c r="F75" s="6" t="inlineStr">
        <is>
          <t>WTW</t>
        </is>
      </c>
      <c r="G75" s="15" t="n"/>
      <c r="H75" s="6" t="n"/>
      <c r="I75" s="6" t="inlineStr">
        <is>
          <t>filled</t>
        </is>
      </c>
      <c r="J75" s="16" t="n">
        <v>3.263614517</v>
      </c>
      <c r="K75" s="17" t="n">
        <v>321.15</v>
      </c>
      <c r="L75" s="17">
        <f>IF(AND(ISNUMBER(J75),ISNUMBER(K75)),J75*K75,"")</f>
        <v/>
      </c>
      <c r="M75" s="17" t="n"/>
      <c r="N75" s="16" t="n">
        <v>3.263614517</v>
      </c>
      <c r="O75" s="6" t="inlineStr">
        <is>
          <t>evening under 5% (watchdog)</t>
        </is>
      </c>
      <c r="P75" s="15" t="inlineStr">
        <is>
          <t>Every-minute watchdog: evening rule, under +5% before the close</t>
        </is>
      </c>
      <c r="Q75" s="12" t="n"/>
      <c r="R75" s="6" t="n"/>
      <c r="S75" s="18" t="n"/>
      <c r="T75" s="12" t="n"/>
      <c r="U75" s="19" t="n"/>
      <c r="V75" s="19" t="n"/>
      <c r="W75" s="12" t="n"/>
      <c r="X75" s="6" t="n"/>
      <c r="Y75" s="19" t="n"/>
      <c r="Z75" s="6" t="n"/>
      <c r="AA75" s="12" t="n"/>
      <c r="AB75" s="15" t="n"/>
      <c r="AC75" s="6" t="n"/>
      <c r="AD75" s="6" t="n"/>
      <c r="AE75" s="17" t="n"/>
      <c r="AF75" s="17" t="n"/>
      <c r="AG75" s="17" t="n"/>
      <c r="AH75" s="20" t="n"/>
      <c r="AI75" s="18" t="n"/>
      <c r="AJ75" s="6" t="n"/>
      <c r="AK75" s="12" t="n"/>
      <c r="AL75" s="15" t="n"/>
      <c r="AM75" s="17" t="n"/>
      <c r="AN75" s="19" t="n"/>
      <c r="AO75" s="17" t="n"/>
      <c r="AP75" s="17" t="n"/>
      <c r="AQ75" s="19" t="n"/>
      <c r="AR75" s="16" t="n"/>
      <c r="AS75" s="17" t="n"/>
      <c r="AT75" s="19" t="n"/>
      <c r="AU75" s="6" t="inlineStr">
        <is>
          <t>paper</t>
        </is>
      </c>
      <c r="AV75" s="6" t="inlineStr">
        <is>
          <t>a1e562c0-783e-46a1-a0d1-7da042b5b3c8</t>
        </is>
      </c>
      <c r="AW75" s="6" t="inlineStr">
        <is>
          <t>tdagent-wd-evening-WTW-1793215853872</t>
        </is>
      </c>
      <c r="AX75" s="13" t="n">
        <v>46323.813125</v>
      </c>
      <c r="AY75" s="13" t="n">
        <v>46323.81313657408</v>
      </c>
      <c r="AZ75" s="13" t="n"/>
      <c r="BA75" s="6" t="n"/>
    </row>
    <row r="76">
      <c r="A76" s="12" t="n">
        <v>75</v>
      </c>
      <c r="B76" s="13" t="n">
        <v>46324.6062962963</v>
      </c>
      <c r="C76" s="13" t="n">
        <v>46324.39796296296</v>
      </c>
      <c r="D76" s="13" t="n">
        <v>46324.56462962963</v>
      </c>
      <c r="E76" s="14" t="inlineStr">
        <is>
          <t>BUY</t>
        </is>
      </c>
      <c r="F76" s="6" t="inlineStr">
        <is>
          <t>ADI</t>
        </is>
      </c>
      <c r="G76" s="15" t="inlineStr">
        <is>
          <t>Analog Devices, Inc. Common Stock</t>
        </is>
      </c>
      <c r="H76" s="6" t="inlineStr">
        <is>
          <t>NASDAQ</t>
        </is>
      </c>
      <c r="I76" s="6" t="inlineStr">
        <is>
          <t>filled</t>
        </is>
      </c>
      <c r="J76" s="16" t="n">
        <v>19.536817436</v>
      </c>
      <c r="K76" s="17" t="n">
        <v>427.19138</v>
      </c>
      <c r="L76" s="17">
        <f>IF(AND(ISNUMBER(J76),ISNUMBER(K76)),J76*K76,"")</f>
        <v/>
      </c>
      <c r="M76" s="17" t="n">
        <v>8345.969999999999</v>
      </c>
      <c r="N76" s="16" t="n"/>
      <c r="O76" s="6" t="inlineStr">
        <is>
          <t>4+/5 green</t>
        </is>
      </c>
      <c r="P76" s="15" t="inlineStr">
        <is>
          <t>5 of 5 green, time machine green, rank #1, 8.33% of the $100,191.79 free cash split 12 ways</t>
        </is>
      </c>
      <c r="Q76" s="12" t="n">
        <v>5</v>
      </c>
      <c r="R76" s="6" t="inlineStr">
        <is>
          <t>ok</t>
        </is>
      </c>
      <c r="S76" s="18" t="n">
        <v>0.707</v>
      </c>
      <c r="T76" s="12" t="n">
        <v>75</v>
      </c>
      <c r="U76" s="19" t="n">
        <v>0.0147</v>
      </c>
      <c r="V76" s="19" t="n">
        <v>-0.1395</v>
      </c>
      <c r="W76" s="12" t="n">
        <v>1</v>
      </c>
      <c r="X76" s="6" t="inlineStr">
        <is>
          <t>ok</t>
        </is>
      </c>
      <c r="Y76" s="19" t="n">
        <v>0.0003</v>
      </c>
      <c r="Z76" s="6" t="inlineStr">
        <is>
          <t>ok</t>
        </is>
      </c>
      <c r="AA76" s="12" t="n">
        <v>100</v>
      </c>
      <c r="AB76" s="15" t="n"/>
      <c r="AC76" s="6" t="inlineStr">
        <is>
          <t>ok</t>
        </is>
      </c>
      <c r="AD76" s="6" t="inlineStr">
        <is>
          <t>up</t>
        </is>
      </c>
      <c r="AE76" s="17" t="n">
        <v>435.9943</v>
      </c>
      <c r="AF76" s="17" t="n">
        <v>416.9835</v>
      </c>
      <c r="AG76" s="17" t="n">
        <v>455.0052</v>
      </c>
      <c r="AH76" s="20" t="n">
        <v>46331</v>
      </c>
      <c r="AI76" s="18" t="n">
        <v>0.53</v>
      </c>
      <c r="AJ76" s="6" t="inlineStr">
        <is>
          <t>ok</t>
        </is>
      </c>
      <c r="AK76" s="12" t="n">
        <v>1</v>
      </c>
      <c r="AL76" s="15" t="inlineStr">
        <is>
          <t>Analog Devices Adopts ChipAgents AI Platform for Semiconductor Design</t>
        </is>
      </c>
      <c r="AM76" s="17" t="n">
        <v>428.5</v>
      </c>
      <c r="AN76" s="19" t="n">
        <v>0.0074</v>
      </c>
      <c r="AO76" s="17" t="n">
        <v>100191.79</v>
      </c>
      <c r="AP76" s="17" t="n">
        <v>100191.79</v>
      </c>
      <c r="AQ76" s="19" t="n">
        <v>0.0833</v>
      </c>
      <c r="AR76" s="16" t="n"/>
      <c r="AS76" s="17" t="n"/>
      <c r="AT76" s="19" t="n"/>
      <c r="AU76" s="6" t="inlineStr">
        <is>
          <t>paper</t>
        </is>
      </c>
      <c r="AV76" s="6" t="inlineStr">
        <is>
          <t>945e18ba-dacb-4f18-8f6d-b6d52b27a5b1</t>
        </is>
      </c>
      <c r="AW76" s="6" t="inlineStr">
        <is>
          <t>tdagent-buy-ADI-1793280647910</t>
        </is>
      </c>
      <c r="AX76" s="13" t="n">
        <v>46324.56304398148</v>
      </c>
      <c r="AY76" s="13" t="n">
        <v>46324.56462962963</v>
      </c>
      <c r="AZ76" s="13" t="n">
        <v>46324.56267361111</v>
      </c>
      <c r="BA76" s="6" t="n"/>
    </row>
    <row r="77">
      <c r="A77" s="12" t="n">
        <v>76</v>
      </c>
      <c r="B77" s="13" t="n">
        <v>46324.60716435185</v>
      </c>
      <c r="C77" s="13" t="n">
        <v>46324.39883101852</v>
      </c>
      <c r="D77" s="13" t="n">
        <v>46324.56549768519</v>
      </c>
      <c r="E77" s="14" t="inlineStr">
        <is>
          <t>BUY</t>
        </is>
      </c>
      <c r="F77" s="6" t="inlineStr">
        <is>
          <t>NTRA</t>
        </is>
      </c>
      <c r="G77" s="15" t="inlineStr">
        <is>
          <t>Natera, Inc. Common Stock</t>
        </is>
      </c>
      <c r="H77" s="6" t="inlineStr">
        <is>
          <t>NASDAQ</t>
        </is>
      </c>
      <c r="I77" s="6" t="inlineStr">
        <is>
          <t>filled</t>
        </is>
      </c>
      <c r="J77" s="16" t="n">
        <v>19.644723215</v>
      </c>
      <c r="K77" s="17" t="n">
        <v>424.844876</v>
      </c>
      <c r="L77" s="17">
        <f>IF(AND(ISNUMBER(J77),ISNUMBER(K77)),J77*K77,"")</f>
        <v/>
      </c>
      <c r="M77" s="17" t="n">
        <v>8345.969999999999</v>
      </c>
      <c r="N77" s="16" t="n"/>
      <c r="O77" s="6" t="inlineStr">
        <is>
          <t>4+/5 green</t>
        </is>
      </c>
      <c r="P77" s="15" t="inlineStr">
        <is>
          <t>5 of 5 green, time machine green, rank #2, 8.33% of the $100,191.79 free cash split 12 ways</t>
        </is>
      </c>
      <c r="Q77" s="12" t="n">
        <v>5</v>
      </c>
      <c r="R77" s="6" t="inlineStr">
        <is>
          <t>ok</t>
        </is>
      </c>
      <c r="S77" s="18" t="n">
        <v>0.697</v>
      </c>
      <c r="T77" s="12" t="n">
        <v>66</v>
      </c>
      <c r="U77" s="19" t="n">
        <v>0.0283</v>
      </c>
      <c r="V77" s="19" t="n">
        <v>-0.1395</v>
      </c>
      <c r="W77" s="12" t="n">
        <v>2</v>
      </c>
      <c r="X77" s="6" t="inlineStr">
        <is>
          <t>ok</t>
        </is>
      </c>
      <c r="Y77" s="19" t="n">
        <v>0.0046</v>
      </c>
      <c r="Z77" s="6" t="inlineStr">
        <is>
          <t>ok</t>
        </is>
      </c>
      <c r="AA77" s="12" t="n">
        <v>100</v>
      </c>
      <c r="AB77" s="15" t="n"/>
      <c r="AC77" s="6" t="inlineStr">
        <is>
          <t>ok</t>
        </is>
      </c>
      <c r="AD77" s="6" t="inlineStr">
        <is>
          <t>up</t>
        </is>
      </c>
      <c r="AE77" s="17" t="n">
        <v>437.523</v>
      </c>
      <c r="AF77" s="17" t="n">
        <v>404.5655</v>
      </c>
      <c r="AG77" s="17" t="n">
        <v>470.4804</v>
      </c>
      <c r="AH77" s="20" t="n">
        <v>46331</v>
      </c>
      <c r="AI77" s="18" t="n">
        <v>0.53</v>
      </c>
      <c r="AJ77" s="6" t="inlineStr">
        <is>
          <t>ok</t>
        </is>
      </c>
      <c r="AK77" s="12" t="n">
        <v>4</v>
      </c>
      <c r="AL77" s="15" t="inlineStr">
        <is>
          <t>BTIG Maintains Buy on Natera, Raises Price Target to $430</t>
        </is>
      </c>
      <c r="AM77" s="17" t="n">
        <v>422.38</v>
      </c>
      <c r="AN77" s="19" t="n">
        <v>0.0329</v>
      </c>
      <c r="AO77" s="17" t="n">
        <v>100191.79</v>
      </c>
      <c r="AP77" s="17" t="n">
        <v>100191.79</v>
      </c>
      <c r="AQ77" s="19" t="n">
        <v>0.0833</v>
      </c>
      <c r="AR77" s="16" t="n"/>
      <c r="AS77" s="17" t="n"/>
      <c r="AT77" s="19" t="n"/>
      <c r="AU77" s="6" t="inlineStr">
        <is>
          <t>paper</t>
        </is>
      </c>
      <c r="AV77" s="6" t="inlineStr">
        <is>
          <t>f905344b-0702-4074-925b-69965f045190</t>
        </is>
      </c>
      <c r="AW77" s="6" t="inlineStr">
        <is>
          <t>tdagent-buy-NTRA-1793280647961</t>
        </is>
      </c>
      <c r="AX77" s="13" t="n">
        <v>46324.56304398148</v>
      </c>
      <c r="AY77" s="13" t="n">
        <v>46324.56549768519</v>
      </c>
      <c r="AZ77" s="13" t="n">
        <v>46324.56267361111</v>
      </c>
      <c r="BA77" s="6" t="n"/>
    </row>
    <row r="78">
      <c r="A78" s="12" t="n">
        <v>77</v>
      </c>
      <c r="B78" s="13" t="n">
        <v>46324.60688657407</v>
      </c>
      <c r="C78" s="13" t="n">
        <v>46324.39855324074</v>
      </c>
      <c r="D78" s="13" t="n">
        <v>46324.56521990741</v>
      </c>
      <c r="E78" s="14" t="inlineStr">
        <is>
          <t>BUY</t>
        </is>
      </c>
      <c r="F78" s="6" t="inlineStr">
        <is>
          <t>TMO</t>
        </is>
      </c>
      <c r="G78" s="15" t="inlineStr">
        <is>
          <t>Thermo Fisher Scientific, Inc.</t>
        </is>
      </c>
      <c r="H78" s="6" t="inlineStr">
        <is>
          <t>NYSE</t>
        </is>
      </c>
      <c r="I78" s="6" t="inlineStr">
        <is>
          <t>filled</t>
        </is>
      </c>
      <c r="J78" s="16" t="n">
        <v>11.851651941</v>
      </c>
      <c r="K78" s="17" t="n">
        <v>704.202253</v>
      </c>
      <c r="L78" s="17">
        <f>IF(AND(ISNUMBER(J78),ISNUMBER(K78)),J78*K78,"")</f>
        <v/>
      </c>
      <c r="M78" s="17" t="n">
        <v>8345.969999999999</v>
      </c>
      <c r="N78" s="16" t="n"/>
      <c r="O78" s="6" t="inlineStr">
        <is>
          <t>4+/5 green</t>
        </is>
      </c>
      <c r="P78" s="15" t="inlineStr">
        <is>
          <t>5 of 5 green, time machine green, rank #3, 8.33% of the $100,191.79 free cash split 12 ways</t>
        </is>
      </c>
      <c r="Q78" s="12" t="n">
        <v>5</v>
      </c>
      <c r="R78" s="6" t="inlineStr">
        <is>
          <t>ok</t>
        </is>
      </c>
      <c r="S78" s="18" t="n">
        <v>0.667</v>
      </c>
      <c r="T78" s="12" t="n">
        <v>81</v>
      </c>
      <c r="U78" s="19" t="n">
        <v>0.0134</v>
      </c>
      <c r="V78" s="19" t="n">
        <v>-0.1395</v>
      </c>
      <c r="W78" s="12" t="n">
        <v>3</v>
      </c>
      <c r="X78" s="6" t="inlineStr">
        <is>
          <t>ok</t>
        </is>
      </c>
      <c r="Y78" s="19" t="n">
        <v>0.0034</v>
      </c>
      <c r="Z78" s="6" t="inlineStr">
        <is>
          <t>ok</t>
        </is>
      </c>
      <c r="AA78" s="12" t="n">
        <v>100</v>
      </c>
      <c r="AB78" s="15" t="n"/>
      <c r="AC78" s="6" t="inlineStr">
        <is>
          <t>ok</t>
        </is>
      </c>
      <c r="AD78" s="6" t="inlineStr">
        <is>
          <t>up</t>
        </is>
      </c>
      <c r="AE78" s="17" t="n">
        <v>714.9629</v>
      </c>
      <c r="AF78" s="17" t="n">
        <v>689.6806</v>
      </c>
      <c r="AG78" s="17" t="n">
        <v>740.2453</v>
      </c>
      <c r="AH78" s="20" t="n">
        <v>46331</v>
      </c>
      <c r="AI78" s="18" t="n">
        <v>0.54</v>
      </c>
      <c r="AJ78" s="6" t="inlineStr">
        <is>
          <t>ok</t>
        </is>
      </c>
      <c r="AK78" s="12" t="n">
        <v>2</v>
      </c>
      <c r="AL78" s="15" t="inlineStr">
        <is>
          <t>Evercore ISI Adjusts Thermo Fisher Scientific Price Target</t>
        </is>
      </c>
      <c r="AM78" s="17" t="n">
        <v>702.4400000000001</v>
      </c>
      <c r="AN78" s="19" t="n">
        <v>0.017</v>
      </c>
      <c r="AO78" s="17" t="n">
        <v>100191.79</v>
      </c>
      <c r="AP78" s="17" t="n">
        <v>100191.79</v>
      </c>
      <c r="AQ78" s="19" t="n">
        <v>0.0833</v>
      </c>
      <c r="AR78" s="16" t="n"/>
      <c r="AS78" s="17" t="n"/>
      <c r="AT78" s="19" t="n"/>
      <c r="AU78" s="6" t="inlineStr">
        <is>
          <t>paper</t>
        </is>
      </c>
      <c r="AV78" s="6" t="inlineStr">
        <is>
          <t>20e9d99f-3228-44b0-99cc-7e07dc593677</t>
        </is>
      </c>
      <c r="AW78" s="6" t="inlineStr">
        <is>
          <t>tdagent-buy-TMO-1793280648003</t>
        </is>
      </c>
      <c r="AX78" s="13" t="n">
        <v>46324.56305555555</v>
      </c>
      <c r="AY78" s="13" t="n">
        <v>46324.56521990741</v>
      </c>
      <c r="AZ78" s="13" t="n">
        <v>46324.56267361111</v>
      </c>
      <c r="BA78" s="6" t="n"/>
    </row>
    <row r="79">
      <c r="A79" s="12" t="n">
        <v>78</v>
      </c>
      <c r="B79" s="13" t="n">
        <v>46324.60554398148</v>
      </c>
      <c r="C79" s="13" t="n">
        <v>46324.39721064815</v>
      </c>
      <c r="D79" s="13" t="n">
        <v>46324.56387731482</v>
      </c>
      <c r="E79" s="14" t="inlineStr">
        <is>
          <t>BUY</t>
        </is>
      </c>
      <c r="F79" s="6" t="inlineStr">
        <is>
          <t>OXY</t>
        </is>
      </c>
      <c r="G79" s="15" t="inlineStr">
        <is>
          <t>Occidental Petroleum Corporation</t>
        </is>
      </c>
      <c r="H79" s="6" t="inlineStr">
        <is>
          <t>NYSE</t>
        </is>
      </c>
      <c r="I79" s="6" t="inlineStr">
        <is>
          <t>filled</t>
        </is>
      </c>
      <c r="J79" s="16" t="n">
        <v>132.370499603</v>
      </c>
      <c r="K79" s="17" t="n">
        <v>63.05</v>
      </c>
      <c r="L79" s="17">
        <f>IF(AND(ISNUMBER(J79),ISNUMBER(K79)),J79*K79,"")</f>
        <v/>
      </c>
      <c r="M79" s="17" t="n">
        <v>8345.969999999999</v>
      </c>
      <c r="N79" s="16" t="n"/>
      <c r="O79" s="6" t="inlineStr">
        <is>
          <t>4+/5 green</t>
        </is>
      </c>
      <c r="P79" s="15" t="inlineStr">
        <is>
          <t>5 of 5 green, time machine green, rank #4, 8.33% of the $100,191.79 free cash split 12 ways</t>
        </is>
      </c>
      <c r="Q79" s="12" t="n">
        <v>5</v>
      </c>
      <c r="R79" s="6" t="inlineStr">
        <is>
          <t>ok</t>
        </is>
      </c>
      <c r="S79" s="18" t="n">
        <v>0.621</v>
      </c>
      <c r="T79" s="12" t="n">
        <v>58</v>
      </c>
      <c r="U79" s="19" t="n">
        <v>0.0105</v>
      </c>
      <c r="V79" s="19" t="n">
        <v>-0.1395</v>
      </c>
      <c r="W79" s="12" t="n">
        <v>4</v>
      </c>
      <c r="X79" s="6" t="inlineStr">
        <is>
          <t>ok</t>
        </is>
      </c>
      <c r="Y79" s="19" t="n">
        <v>0.0063</v>
      </c>
      <c r="Z79" s="6" t="inlineStr">
        <is>
          <t>ok</t>
        </is>
      </c>
      <c r="AA79" s="12" t="n">
        <v>100</v>
      </c>
      <c r="AB79" s="15" t="n"/>
      <c r="AC79" s="6" t="inlineStr">
        <is>
          <t>ok</t>
        </is>
      </c>
      <c r="AD79" s="6" t="inlineStr">
        <is>
          <t>up</t>
        </is>
      </c>
      <c r="AE79" s="17" t="n">
        <v>63.9326</v>
      </c>
      <c r="AF79" s="17" t="n">
        <v>61.2761</v>
      </c>
      <c r="AG79" s="17" t="n">
        <v>66.5891</v>
      </c>
      <c r="AH79" s="20" t="n">
        <v>46331</v>
      </c>
      <c r="AI79" s="18" t="n">
        <v>0.54</v>
      </c>
      <c r="AJ79" s="6" t="inlineStr">
        <is>
          <t>ok</t>
        </is>
      </c>
      <c r="AK79" s="12" t="n">
        <v>0</v>
      </c>
      <c r="AL79" s="15" t="n"/>
      <c r="AM79" s="17" t="n">
        <v>63.27</v>
      </c>
      <c r="AN79" s="19" t="n">
        <v>0.0022</v>
      </c>
      <c r="AO79" s="17" t="n">
        <v>100191.79</v>
      </c>
      <c r="AP79" s="17" t="n">
        <v>100191.79</v>
      </c>
      <c r="AQ79" s="19" t="n">
        <v>0.0833</v>
      </c>
      <c r="AR79" s="16" t="n"/>
      <c r="AS79" s="17" t="n"/>
      <c r="AT79" s="19" t="n"/>
      <c r="AU79" s="6" t="inlineStr">
        <is>
          <t>paper</t>
        </is>
      </c>
      <c r="AV79" s="6" t="inlineStr">
        <is>
          <t>8be935fc-0d73-4a10-9b3e-154f3b63f820</t>
        </is>
      </c>
      <c r="AW79" s="6" t="inlineStr">
        <is>
          <t>tdagent-buy-OXY-1793280648055</t>
        </is>
      </c>
      <c r="AX79" s="13" t="n">
        <v>46324.56305555555</v>
      </c>
      <c r="AY79" s="13" t="n">
        <v>46324.56387731482</v>
      </c>
      <c r="AZ79" s="13" t="n">
        <v>46324.56267361111</v>
      </c>
      <c r="BA79" s="6" t="n"/>
    </row>
    <row r="80">
      <c r="A80" s="12" t="n">
        <v>79</v>
      </c>
      <c r="B80" s="13" t="n">
        <v>46324.60677083334</v>
      </c>
      <c r="C80" s="13" t="n">
        <v>46324.3984375</v>
      </c>
      <c r="D80" s="13" t="n">
        <v>46324.56510416666</v>
      </c>
      <c r="E80" s="14" t="inlineStr">
        <is>
          <t>BUY</t>
        </is>
      </c>
      <c r="F80" s="6" t="inlineStr">
        <is>
          <t>WTW</t>
        </is>
      </c>
      <c r="G80" s="15" t="inlineStr">
        <is>
          <t>Willis Towers Watson Public Limited Company Ordinary Shares</t>
        </is>
      </c>
      <c r="H80" s="6" t="inlineStr">
        <is>
          <t>NASDAQ</t>
        </is>
      </c>
      <c r="I80" s="6" t="inlineStr">
        <is>
          <t>filled</t>
        </is>
      </c>
      <c r="J80" s="16" t="n">
        <v>26.078334421</v>
      </c>
      <c r="K80" s="17" t="n">
        <v>320.034243</v>
      </c>
      <c r="L80" s="17">
        <f>IF(AND(ISNUMBER(J80),ISNUMBER(K80)),J80*K80,"")</f>
        <v/>
      </c>
      <c r="M80" s="17" t="n">
        <v>8345.969999999999</v>
      </c>
      <c r="N80" s="16" t="n"/>
      <c r="O80" s="6" t="inlineStr">
        <is>
          <t>4+/5 green</t>
        </is>
      </c>
      <c r="P80" s="15" t="inlineStr">
        <is>
          <t>5 of 5 green, time machine green, rank #5, 8.33% of the $100,191.79 free cash split 12 ways</t>
        </is>
      </c>
      <c r="Q80" s="12" t="n">
        <v>5</v>
      </c>
      <c r="R80" s="6" t="inlineStr">
        <is>
          <t>ok</t>
        </is>
      </c>
      <c r="S80" s="18" t="n">
        <v>0.621</v>
      </c>
      <c r="T80" s="12" t="n">
        <v>29</v>
      </c>
      <c r="U80" s="19" t="n">
        <v>0.0212</v>
      </c>
      <c r="V80" s="19" t="n">
        <v>-0.1395</v>
      </c>
      <c r="W80" s="12" t="n">
        <v>5</v>
      </c>
      <c r="X80" s="6" t="inlineStr">
        <is>
          <t>ok</t>
        </is>
      </c>
      <c r="Y80" s="19" t="n">
        <v>0</v>
      </c>
      <c r="Z80" s="6" t="inlineStr">
        <is>
          <t>ok</t>
        </is>
      </c>
      <c r="AA80" s="12" t="n">
        <v>100</v>
      </c>
      <c r="AB80" s="15" t="n"/>
      <c r="AC80" s="6" t="inlineStr">
        <is>
          <t>ok</t>
        </is>
      </c>
      <c r="AD80" s="6" t="inlineStr">
        <is>
          <t>up</t>
        </is>
      </c>
      <c r="AE80" s="17" t="n">
        <v>326.195</v>
      </c>
      <c r="AF80" s="17" t="n">
        <v>314.8075</v>
      </c>
      <c r="AG80" s="17" t="n">
        <v>337.5825</v>
      </c>
      <c r="AH80" s="20" t="n">
        <v>46331</v>
      </c>
      <c r="AI80" s="18" t="n">
        <v>0.53</v>
      </c>
      <c r="AJ80" s="6" t="inlineStr">
        <is>
          <t>ok</t>
        </is>
      </c>
      <c r="AK80" s="12" t="n">
        <v>3</v>
      </c>
      <c r="AL80" s="15" t="inlineStr">
        <is>
          <t>Willis Towers Watson Q3 Adj. EPS $3.63 Beats $3.59 Estimate, Sales $2.460B Beat $2.455B Estimate</t>
        </is>
      </c>
      <c r="AM80" s="17" t="n">
        <v>321.64</v>
      </c>
      <c r="AN80" s="19" t="n">
        <v>0.0061</v>
      </c>
      <c r="AO80" s="17" t="n">
        <v>100191.79</v>
      </c>
      <c r="AP80" s="17" t="n">
        <v>100191.79</v>
      </c>
      <c r="AQ80" s="19" t="n">
        <v>0.0833</v>
      </c>
      <c r="AR80" s="16" t="n"/>
      <c r="AS80" s="17" t="n"/>
      <c r="AT80" s="19" t="n"/>
      <c r="AU80" s="6" t="inlineStr">
        <is>
          <t>paper</t>
        </is>
      </c>
      <c r="AV80" s="6" t="inlineStr">
        <is>
          <t>76d68fb4-073e-48a2-a54a-417213babaf1</t>
        </is>
      </c>
      <c r="AW80" s="6" t="inlineStr">
        <is>
          <t>tdagent-buy-WTW-1793280648101</t>
        </is>
      </c>
      <c r="AX80" s="13" t="n">
        <v>46324.56305555555</v>
      </c>
      <c r="AY80" s="13" t="n">
        <v>46324.56510416666</v>
      </c>
      <c r="AZ80" s="13" t="n">
        <v>46324.56267361111</v>
      </c>
      <c r="BA80" s="6" t="n"/>
    </row>
    <row r="81">
      <c r="A81" s="12" t="n">
        <v>80</v>
      </c>
      <c r="B81" s="13" t="n">
        <v>46324.60704861111</v>
      </c>
      <c r="C81" s="13" t="n">
        <v>46324.39871527778</v>
      </c>
      <c r="D81" s="13" t="n">
        <v>46324.56538194444</v>
      </c>
      <c r="E81" s="14" t="inlineStr">
        <is>
          <t>BUY</t>
        </is>
      </c>
      <c r="F81" s="6" t="inlineStr">
        <is>
          <t>MCK</t>
        </is>
      </c>
      <c r="G81" s="15" t="inlineStr">
        <is>
          <t>McKesson Corporation</t>
        </is>
      </c>
      <c r="H81" s="6" t="inlineStr">
        <is>
          <t>NYSE</t>
        </is>
      </c>
      <c r="I81" s="6" t="inlineStr">
        <is>
          <t>filled</t>
        </is>
      </c>
      <c r="J81" s="16" t="n">
        <v>8.556874402</v>
      </c>
      <c r="K81" s="17" t="n">
        <v>975.351467</v>
      </c>
      <c r="L81" s="17">
        <f>IF(AND(ISNUMBER(J81),ISNUMBER(K81)),J81*K81,"")</f>
        <v/>
      </c>
      <c r="M81" s="17" t="n">
        <v>8345.969999999999</v>
      </c>
      <c r="N81" s="16" t="n"/>
      <c r="O81" s="6" t="inlineStr">
        <is>
          <t>4+/5 green</t>
        </is>
      </c>
      <c r="P81" s="15" t="inlineStr">
        <is>
          <t>5 of 5 green, time machine green, rank #6, 8.33% of the $100,191.79 free cash split 12 ways</t>
        </is>
      </c>
      <c r="Q81" s="12" t="n">
        <v>5</v>
      </c>
      <c r="R81" s="6" t="inlineStr">
        <is>
          <t>ok</t>
        </is>
      </c>
      <c r="S81" s="18" t="n">
        <v>0.588</v>
      </c>
      <c r="T81" s="12" t="n">
        <v>68</v>
      </c>
      <c r="U81" s="19" t="n">
        <v>0.0019</v>
      </c>
      <c r="V81" s="19" t="n">
        <v>-0.1395</v>
      </c>
      <c r="W81" s="12" t="n">
        <v>6</v>
      </c>
      <c r="X81" s="6" t="inlineStr">
        <is>
          <t>ok</t>
        </is>
      </c>
      <c r="Y81" s="19" t="n">
        <v>0</v>
      </c>
      <c r="Z81" s="6" t="inlineStr">
        <is>
          <t>ok</t>
        </is>
      </c>
      <c r="AA81" s="12" t="n">
        <v>100</v>
      </c>
      <c r="AB81" s="15" t="n"/>
      <c r="AC81" s="6" t="inlineStr">
        <is>
          <t>ok</t>
        </is>
      </c>
      <c r="AD81" s="6" t="inlineStr">
        <is>
          <t>up</t>
        </is>
      </c>
      <c r="AE81" s="17" t="n">
        <v>976.5787</v>
      </c>
      <c r="AF81" s="17" t="n">
        <v>938.082</v>
      </c>
      <c r="AG81" s="17" t="n">
        <v>1015.0753</v>
      </c>
      <c r="AH81" s="20" t="n">
        <v>46331</v>
      </c>
      <c r="AI81" s="18" t="n">
        <v>0.55</v>
      </c>
      <c r="AJ81" s="6" t="inlineStr">
        <is>
          <t>ok</t>
        </is>
      </c>
      <c r="AK81" s="12" t="n">
        <v>0</v>
      </c>
      <c r="AL81" s="15" t="n"/>
      <c r="AM81" s="17" t="n">
        <v>961.1799999999999</v>
      </c>
      <c r="AN81" s="19" t="n">
        <v>-0.0059</v>
      </c>
      <c r="AO81" s="17" t="n">
        <v>100191.79</v>
      </c>
      <c r="AP81" s="17" t="n">
        <v>100191.79</v>
      </c>
      <c r="AQ81" s="19" t="n">
        <v>0.0833</v>
      </c>
      <c r="AR81" s="16" t="n"/>
      <c r="AS81" s="17" t="n"/>
      <c r="AT81" s="19" t="n"/>
      <c r="AU81" s="6" t="inlineStr">
        <is>
          <t>paper</t>
        </is>
      </c>
      <c r="AV81" s="6" t="inlineStr">
        <is>
          <t>40624c33-d43b-482d-b12f-30fb41c490bd</t>
        </is>
      </c>
      <c r="AW81" s="6" t="inlineStr">
        <is>
          <t>tdagent-buy-MCK-1793280648174</t>
        </is>
      </c>
      <c r="AX81" s="13" t="n">
        <v>46324.56305555555</v>
      </c>
      <c r="AY81" s="13" t="n">
        <v>46324.56538194444</v>
      </c>
      <c r="AZ81" s="13" t="n">
        <v>46324.56267361111</v>
      </c>
      <c r="BA81" s="6" t="n"/>
    </row>
    <row r="82">
      <c r="A82" s="12" t="n">
        <v>81</v>
      </c>
      <c r="B82" s="13" t="n">
        <v>46324.60655092593</v>
      </c>
      <c r="C82" s="13" t="n">
        <v>46324.39821759259</v>
      </c>
      <c r="D82" s="13" t="n">
        <v>46324.56488425926</v>
      </c>
      <c r="E82" s="14" t="inlineStr">
        <is>
          <t>BUY</t>
        </is>
      </c>
      <c r="F82" s="6" t="inlineStr">
        <is>
          <t>ISRG</t>
        </is>
      </c>
      <c r="G82" s="15" t="inlineStr">
        <is>
          <t>Intuitive Surgical, Inc. Common Stock</t>
        </is>
      </c>
      <c r="H82" s="6" t="inlineStr">
        <is>
          <t>NASDAQ</t>
        </is>
      </c>
      <c r="I82" s="6" t="inlineStr">
        <is>
          <t>filled</t>
        </is>
      </c>
      <c r="J82" s="16" t="n">
        <v>18.645716072</v>
      </c>
      <c r="K82" s="17" t="n">
        <v>447.607374</v>
      </c>
      <c r="L82" s="17">
        <f>IF(AND(ISNUMBER(J82),ISNUMBER(K82)),J82*K82,"")</f>
        <v/>
      </c>
      <c r="M82" s="17" t="n">
        <v>8345.969999999999</v>
      </c>
      <c r="N82" s="16" t="n"/>
      <c r="O82" s="6" t="inlineStr">
        <is>
          <t>4+/5 green</t>
        </is>
      </c>
      <c r="P82" s="15" t="inlineStr">
        <is>
          <t>5 of 5 green, time machine green, rank #9, 8.33% of the $100,191.79 free cash split 12 ways</t>
        </is>
      </c>
      <c r="Q82" s="12" t="n">
        <v>5</v>
      </c>
      <c r="R82" s="6" t="inlineStr">
        <is>
          <t>ok</t>
        </is>
      </c>
      <c r="S82" s="18" t="n">
        <v>0.552</v>
      </c>
      <c r="T82" s="12" t="n">
        <v>29</v>
      </c>
      <c r="U82" s="19" t="n">
        <v>0.0068</v>
      </c>
      <c r="V82" s="19" t="n">
        <v>-0.1395</v>
      </c>
      <c r="W82" s="12" t="n">
        <v>9</v>
      </c>
      <c r="X82" s="6" t="inlineStr">
        <is>
          <t>ok</t>
        </is>
      </c>
      <c r="Y82" s="19" t="n">
        <v>0</v>
      </c>
      <c r="Z82" s="6" t="inlineStr">
        <is>
          <t>ok</t>
        </is>
      </c>
      <c r="AA82" s="12" t="n">
        <v>100</v>
      </c>
      <c r="AB82" s="15" t="n"/>
      <c r="AC82" s="6" t="inlineStr">
        <is>
          <t>ok</t>
        </is>
      </c>
      <c r="AD82" s="6" t="inlineStr">
        <is>
          <t>up</t>
        </is>
      </c>
      <c r="AE82" s="17" t="n">
        <v>451.3904</v>
      </c>
      <c r="AF82" s="17" t="n">
        <v>433.3894</v>
      </c>
      <c r="AG82" s="17" t="n">
        <v>469.3914</v>
      </c>
      <c r="AH82" s="20" t="n">
        <v>46331</v>
      </c>
      <c r="AI82" s="18" t="n">
        <v>0.5600000000000001</v>
      </c>
      <c r="AJ82" s="6" t="inlineStr">
        <is>
          <t>ok</t>
        </is>
      </c>
      <c r="AK82" s="12" t="n">
        <v>4</v>
      </c>
      <c r="AL82" s="15" t="inlineStr">
        <is>
          <t>Evercore ISI Adjusts Intuitive Surgical Price Target to $375 From $385</t>
        </is>
      </c>
      <c r="AM82" s="17" t="n">
        <v>444.19</v>
      </c>
      <c r="AN82" s="19" t="n">
        <v>-0.0039</v>
      </c>
      <c r="AO82" s="17" t="n">
        <v>100191.79</v>
      </c>
      <c r="AP82" s="17" t="n">
        <v>100191.79</v>
      </c>
      <c r="AQ82" s="19" t="n">
        <v>0.0833</v>
      </c>
      <c r="AR82" s="16" t="n"/>
      <c r="AS82" s="17" t="n"/>
      <c r="AT82" s="19" t="n"/>
      <c r="AU82" s="6" t="inlineStr">
        <is>
          <t>paper</t>
        </is>
      </c>
      <c r="AV82" s="6" t="inlineStr">
        <is>
          <t>d6ce49ed-c1b3-489d-93c3-851dba2e9981</t>
        </is>
      </c>
      <c r="AW82" s="6" t="inlineStr">
        <is>
          <t>tdagent-buy-ISRG-1793280648289</t>
        </is>
      </c>
      <c r="AX82" s="13" t="n">
        <v>46324.56305555555</v>
      </c>
      <c r="AY82" s="13" t="n">
        <v>46324.56488425926</v>
      </c>
      <c r="AZ82" s="13" t="n">
        <v>46324.56267361111</v>
      </c>
      <c r="BA82" s="6" t="n"/>
    </row>
    <row r="83">
      <c r="A83" s="12" t="n">
        <v>82</v>
      </c>
      <c r="B83" s="13" t="n">
        <v>46324.60613425926</v>
      </c>
      <c r="C83" s="13" t="n">
        <v>46324.39780092592</v>
      </c>
      <c r="D83" s="13" t="n">
        <v>46324.56446759259</v>
      </c>
      <c r="E83" s="14" t="inlineStr">
        <is>
          <t>BUY</t>
        </is>
      </c>
      <c r="F83" s="6" t="inlineStr">
        <is>
          <t>ADP</t>
        </is>
      </c>
      <c r="G83" s="15" t="inlineStr">
        <is>
          <t>Automatic Data Processing, Inc. Common Stock</t>
        </is>
      </c>
      <c r="H83" s="6" t="inlineStr">
        <is>
          <t>NASDAQ</t>
        </is>
      </c>
      <c r="I83" s="6" t="inlineStr">
        <is>
          <t>filled</t>
        </is>
      </c>
      <c r="J83" s="16" t="n">
        <v>28.879753624</v>
      </c>
      <c r="K83" s="17" t="n">
        <v>288.99</v>
      </c>
      <c r="L83" s="17">
        <f>IF(AND(ISNUMBER(J83),ISNUMBER(K83)),J83*K83,"")</f>
        <v/>
      </c>
      <c r="M83" s="17" t="n">
        <v>8345.969999999999</v>
      </c>
      <c r="N83" s="16" t="n"/>
      <c r="O83" s="6" t="inlineStr">
        <is>
          <t>4+/5 green</t>
        </is>
      </c>
      <c r="P83" s="15" t="inlineStr">
        <is>
          <t>4 of 5 green, time machine green, rank #10, 8.33% of the $100,191.79 free cash split 12 ways</t>
        </is>
      </c>
      <c r="Q83" s="12" t="n">
        <v>4</v>
      </c>
      <c r="R83" s="6" t="inlineStr">
        <is>
          <t>ok</t>
        </is>
      </c>
      <c r="S83" s="18" t="n">
        <v>0.648</v>
      </c>
      <c r="T83" s="12" t="n">
        <v>54</v>
      </c>
      <c r="U83" s="19" t="n">
        <v>0.0132</v>
      </c>
      <c r="V83" s="19" t="n">
        <v>-0.1395</v>
      </c>
      <c r="W83" s="12" t="n">
        <v>10</v>
      </c>
      <c r="X83" s="6" t="inlineStr">
        <is>
          <t>ok</t>
        </is>
      </c>
      <c r="Y83" s="19" t="n">
        <v>0.0064</v>
      </c>
      <c r="Z83" s="6" t="inlineStr">
        <is>
          <t>ok</t>
        </is>
      </c>
      <c r="AA83" s="12" t="n">
        <v>100</v>
      </c>
      <c r="AB83" s="15" t="n"/>
      <c r="AC83" s="6" t="inlineStr">
        <is>
          <t>ok</t>
        </is>
      </c>
      <c r="AD83" s="6" t="inlineStr">
        <is>
          <t>up</t>
        </is>
      </c>
      <c r="AE83" s="17" t="n">
        <v>289.3086</v>
      </c>
      <c r="AF83" s="17" t="n">
        <v>279.4621</v>
      </c>
      <c r="AG83" s="17" t="n">
        <v>299.1552</v>
      </c>
      <c r="AH83" s="20" t="n">
        <v>46331</v>
      </c>
      <c r="AI83" s="18" t="n">
        <v>0.5600000000000001</v>
      </c>
      <c r="AJ83" s="6" t="inlineStr">
        <is>
          <t>watch</t>
        </is>
      </c>
      <c r="AK83" s="12" t="n">
        <v>10</v>
      </c>
      <c r="AL83" s="15" t="inlineStr">
        <is>
          <t>Automatic Data Processing Q1 2027 Earnings Call Transcript</t>
        </is>
      </c>
      <c r="AM83" s="17" t="n">
        <v>287.21</v>
      </c>
      <c r="AN83" s="19" t="n">
        <v>-0.0258</v>
      </c>
      <c r="AO83" s="17" t="n">
        <v>100191.79</v>
      </c>
      <c r="AP83" s="17" t="n">
        <v>100191.79</v>
      </c>
      <c r="AQ83" s="19" t="n">
        <v>0.0833</v>
      </c>
      <c r="AR83" s="16" t="n"/>
      <c r="AS83" s="17" t="n"/>
      <c r="AT83" s="19" t="n"/>
      <c r="AU83" s="6" t="inlineStr">
        <is>
          <t>paper</t>
        </is>
      </c>
      <c r="AV83" s="6" t="inlineStr">
        <is>
          <t>8a1d5db1-bd96-4ec4-8cf7-90f3d674ae95</t>
        </is>
      </c>
      <c r="AW83" s="6" t="inlineStr">
        <is>
          <t>tdagent-buy-ADP-1793280648342</t>
        </is>
      </c>
      <c r="AX83" s="13" t="n">
        <v>46324.56305555555</v>
      </c>
      <c r="AY83" s="13" t="n">
        <v>46324.56446759259</v>
      </c>
      <c r="AZ83" s="13" t="n">
        <v>46324.56267361111</v>
      </c>
      <c r="BA83" s="6" t="n"/>
    </row>
    <row r="84">
      <c r="A84" s="12" t="n">
        <v>83</v>
      </c>
      <c r="B84" s="13" t="n">
        <v>46324.60626157407</v>
      </c>
      <c r="C84" s="13" t="n">
        <v>46324.39792824074</v>
      </c>
      <c r="D84" s="13" t="n">
        <v>46324.56459490741</v>
      </c>
      <c r="E84" s="14" t="inlineStr">
        <is>
          <t>BUY</t>
        </is>
      </c>
      <c r="F84" s="6" t="inlineStr">
        <is>
          <t>IQV</t>
        </is>
      </c>
      <c r="G84" s="15" t="inlineStr">
        <is>
          <t>IQVIA Holdings Inc.</t>
        </is>
      </c>
      <c r="H84" s="6" t="inlineStr">
        <is>
          <t>NYSE</t>
        </is>
      </c>
      <c r="I84" s="6" t="inlineStr">
        <is>
          <t>filled</t>
        </is>
      </c>
      <c r="J84" s="16" t="n">
        <v>30.075531531</v>
      </c>
      <c r="K84" s="17" t="n">
        <v>277.5</v>
      </c>
      <c r="L84" s="17">
        <f>IF(AND(ISNUMBER(J84),ISNUMBER(K84)),J84*K84,"")</f>
        <v/>
      </c>
      <c r="M84" s="17" t="n">
        <v>8345.969999999999</v>
      </c>
      <c r="N84" s="16" t="n"/>
      <c r="O84" s="6" t="inlineStr">
        <is>
          <t>4+/5 green</t>
        </is>
      </c>
      <c r="P84" s="15" t="inlineStr">
        <is>
          <t>4 of 5 green, time machine green, rank #11, 8.33% of the $100,191.79 free cash split 12 ways</t>
        </is>
      </c>
      <c r="Q84" s="12" t="n">
        <v>4</v>
      </c>
      <c r="R84" s="6" t="inlineStr">
        <is>
          <t>ok</t>
        </is>
      </c>
      <c r="S84" s="18" t="n">
        <v>0.608</v>
      </c>
      <c r="T84" s="12" t="n">
        <v>74</v>
      </c>
      <c r="U84" s="19" t="n">
        <v>0.0149</v>
      </c>
      <c r="V84" s="19" t="n">
        <v>-0.1395</v>
      </c>
      <c r="W84" s="12" t="n">
        <v>11</v>
      </c>
      <c r="X84" s="6" t="inlineStr">
        <is>
          <t>ok</t>
        </is>
      </c>
      <c r="Y84" s="19" t="n">
        <v>0.0008</v>
      </c>
      <c r="Z84" s="6" t="inlineStr">
        <is>
          <t>ok</t>
        </is>
      </c>
      <c r="AA84" s="12" t="n">
        <v>100</v>
      </c>
      <c r="AB84" s="15" t="n"/>
      <c r="AC84" s="6" t="inlineStr">
        <is>
          <t>ok</t>
        </is>
      </c>
      <c r="AD84" s="6" t="inlineStr">
        <is>
          <t>up</t>
        </is>
      </c>
      <c r="AE84" s="17" t="n">
        <v>283.0364</v>
      </c>
      <c r="AF84" s="17" t="n">
        <v>272.7205</v>
      </c>
      <c r="AG84" s="17" t="n">
        <v>293.3523</v>
      </c>
      <c r="AH84" s="20" t="n">
        <v>46331</v>
      </c>
      <c r="AI84" s="18" t="n">
        <v>0.53</v>
      </c>
      <c r="AJ84" s="6" t="inlineStr">
        <is>
          <t>watch</t>
        </is>
      </c>
      <c r="AK84" s="12" t="n">
        <v>6</v>
      </c>
      <c r="AL84" s="15" t="inlineStr">
        <is>
          <t>JP Morgan Maintains Overweight on IQVIA Holdings, Raises Price Target to $325</t>
        </is>
      </c>
      <c r="AM84" s="17" t="n">
        <v>278.7</v>
      </c>
      <c r="AN84" s="19" t="n">
        <v>0.0275</v>
      </c>
      <c r="AO84" s="17" t="n">
        <v>100191.79</v>
      </c>
      <c r="AP84" s="17" t="n">
        <v>100191.79</v>
      </c>
      <c r="AQ84" s="19" t="n">
        <v>0.0833</v>
      </c>
      <c r="AR84" s="16" t="n"/>
      <c r="AS84" s="17" t="n"/>
      <c r="AT84" s="19" t="n"/>
      <c r="AU84" s="6" t="inlineStr">
        <is>
          <t>paper</t>
        </is>
      </c>
      <c r="AV84" s="6" t="inlineStr">
        <is>
          <t>f2ead90d-b916-49fe-9325-a63c56fae54a</t>
        </is>
      </c>
      <c r="AW84" s="6" t="inlineStr">
        <is>
          <t>tdagent-buy-IQV-1793280648394</t>
        </is>
      </c>
      <c r="AX84" s="13" t="n">
        <v>46324.56305555555</v>
      </c>
      <c r="AY84" s="13" t="n">
        <v>46324.56459490741</v>
      </c>
      <c r="AZ84" s="13" t="n">
        <v>46324.56267361111</v>
      </c>
      <c r="BA84" s="6" t="n"/>
    </row>
    <row r="85">
      <c r="A85" s="12" t="n">
        <v>84</v>
      </c>
      <c r="B85" s="13" t="n">
        <v>46324.60625</v>
      </c>
      <c r="C85" s="13" t="n">
        <v>46324.39791666667</v>
      </c>
      <c r="D85" s="13" t="n">
        <v>46324.56458333333</v>
      </c>
      <c r="E85" s="14" t="inlineStr">
        <is>
          <t>BUY</t>
        </is>
      </c>
      <c r="F85" s="6" t="inlineStr">
        <is>
          <t>LLY</t>
        </is>
      </c>
      <c r="G85" s="15" t="inlineStr">
        <is>
          <t>Eli Lilly &amp; Co.</t>
        </is>
      </c>
      <c r="H85" s="6" t="inlineStr">
        <is>
          <t>NYSE</t>
        </is>
      </c>
      <c r="I85" s="6" t="inlineStr">
        <is>
          <t>filled</t>
        </is>
      </c>
      <c r="J85" s="16" t="n">
        <v>6.035195373</v>
      </c>
      <c r="K85" s="17" t="n">
        <v>1382.881495</v>
      </c>
      <c r="L85" s="17">
        <f>IF(AND(ISNUMBER(J85),ISNUMBER(K85)),J85*K85,"")</f>
        <v/>
      </c>
      <c r="M85" s="17" t="n">
        <v>8345.969999999999</v>
      </c>
      <c r="N85" s="16" t="n"/>
      <c r="O85" s="6" t="inlineStr">
        <is>
          <t>4+/5 green</t>
        </is>
      </c>
      <c r="P85" s="15" t="inlineStr">
        <is>
          <t>4 of 5 green, time machine green, rank #12, 8.33% of the $100,191.79 free cash split 12 ways</t>
        </is>
      </c>
      <c r="Q85" s="12" t="n">
        <v>4</v>
      </c>
      <c r="R85" s="6" t="inlineStr">
        <is>
          <t>ok</t>
        </is>
      </c>
      <c r="S85" s="18" t="n">
        <v>0.574</v>
      </c>
      <c r="T85" s="12" t="n">
        <v>68</v>
      </c>
      <c r="U85" s="19" t="n">
        <v>0.0075</v>
      </c>
      <c r="V85" s="19" t="n">
        <v>-0.1395</v>
      </c>
      <c r="W85" s="12" t="n">
        <v>12</v>
      </c>
      <c r="X85" s="6" t="inlineStr">
        <is>
          <t>ok</t>
        </is>
      </c>
      <c r="Y85" s="19" t="n">
        <v>0</v>
      </c>
      <c r="Z85" s="6" t="inlineStr">
        <is>
          <t>ok</t>
        </is>
      </c>
      <c r="AA85" s="12" t="n">
        <v>100</v>
      </c>
      <c r="AB85" s="15" t="n"/>
      <c r="AC85" s="6" t="inlineStr">
        <is>
          <t>ok</t>
        </is>
      </c>
      <c r="AD85" s="6" t="inlineStr">
        <is>
          <t>up</t>
        </is>
      </c>
      <c r="AE85" s="17" t="n">
        <v>1311.7784</v>
      </c>
      <c r="AF85" s="17" t="n">
        <v>1259.0074</v>
      </c>
      <c r="AG85" s="17" t="n">
        <v>1364.5494</v>
      </c>
      <c r="AH85" s="20" t="n">
        <v>46331</v>
      </c>
      <c r="AI85" s="18" t="n">
        <v>0.55</v>
      </c>
      <c r="AJ85" s="6" t="inlineStr">
        <is>
          <t>watch</t>
        </is>
      </c>
      <c r="AK85" s="12" t="n">
        <v>10</v>
      </c>
      <c r="AL85" s="15" t="inlineStr">
        <is>
          <t>Eli Lilly Lowers FY2026 Adj EPS Guidance from $35.50-$36.50 to $35.00-$36.00 vs $34.04 Est; Raises FY2026 Sales Guidance from $85.000B-$87.000B to $91.000B-$92.000B vs $88.848B Est</t>
        </is>
      </c>
      <c r="AM85" s="17" t="n">
        <v>1290.67</v>
      </c>
      <c r="AN85" s="19" t="n">
        <v>0.0071</v>
      </c>
      <c r="AO85" s="17" t="n">
        <v>100191.79</v>
      </c>
      <c r="AP85" s="17" t="n">
        <v>100191.79</v>
      </c>
      <c r="AQ85" s="19" t="n">
        <v>0.0833</v>
      </c>
      <c r="AR85" s="16" t="n"/>
      <c r="AS85" s="17" t="n"/>
      <c r="AT85" s="19" t="n"/>
      <c r="AU85" s="6" t="inlineStr">
        <is>
          <t>paper</t>
        </is>
      </c>
      <c r="AV85" s="6" t="inlineStr">
        <is>
          <t>c6b04753-7485-469f-8d38-d301e8e7b741</t>
        </is>
      </c>
      <c r="AW85" s="6" t="inlineStr">
        <is>
          <t>tdagent-buy-LLY-1793280648448</t>
        </is>
      </c>
      <c r="AX85" s="13" t="n">
        <v>46324.56305555555</v>
      </c>
      <c r="AY85" s="13" t="n">
        <v>46324.56458333333</v>
      </c>
      <c r="AZ85" s="13" t="n">
        <v>46324.56267361111</v>
      </c>
      <c r="BA85" s="6" t="n"/>
    </row>
    <row r="86">
      <c r="A86" s="12" t="n">
        <v>85</v>
      </c>
      <c r="B86" s="13" t="n">
        <v>46324.60640046297</v>
      </c>
      <c r="C86" s="13" t="n">
        <v>46324.39806712963</v>
      </c>
      <c r="D86" s="13" t="n">
        <v>46324.56473379629</v>
      </c>
      <c r="E86" s="14" t="inlineStr">
        <is>
          <t>BUY</t>
        </is>
      </c>
      <c r="F86" s="6" t="inlineStr">
        <is>
          <t>MPC</t>
        </is>
      </c>
      <c r="G86" s="15" t="inlineStr">
        <is>
          <t>MARATHON PETROLEUM CORPORATION</t>
        </is>
      </c>
      <c r="H86" s="6" t="inlineStr">
        <is>
          <t>NYSE</t>
        </is>
      </c>
      <c r="I86" s="6" t="inlineStr">
        <is>
          <t>filled</t>
        </is>
      </c>
      <c r="J86" s="16" t="n">
        <v>18.846467973</v>
      </c>
      <c r="K86" s="17" t="n">
        <v>442.839476</v>
      </c>
      <c r="L86" s="17">
        <f>IF(AND(ISNUMBER(J86),ISNUMBER(K86)),J86*K86,"")</f>
        <v/>
      </c>
      <c r="M86" s="17" t="n">
        <v>8345.969999999999</v>
      </c>
      <c r="N86" s="16" t="n"/>
      <c r="O86" s="6" t="inlineStr">
        <is>
          <t>4+/5 green</t>
        </is>
      </c>
      <c r="P86" s="15" t="inlineStr">
        <is>
          <t>5 of 5 green, time machine green, rank #13, 8.33% of the $100,191.79 free cash split 12 ways</t>
        </is>
      </c>
      <c r="Q86" s="12" t="n">
        <v>5</v>
      </c>
      <c r="R86" s="6" t="inlineStr">
        <is>
          <t>ok</t>
        </is>
      </c>
      <c r="S86" s="18" t="n">
        <v>0.6820000000000001</v>
      </c>
      <c r="T86" s="12" t="n">
        <v>85</v>
      </c>
      <c r="U86" s="19" t="n">
        <v>0.0254</v>
      </c>
      <c r="V86" s="19" t="n">
        <v>-0.1395</v>
      </c>
      <c r="W86" s="12" t="n">
        <v>13</v>
      </c>
      <c r="X86" s="6" t="inlineStr">
        <is>
          <t>ok</t>
        </is>
      </c>
      <c r="Y86" s="19" t="n">
        <v>0</v>
      </c>
      <c r="Z86" s="6" t="inlineStr">
        <is>
          <t>ok</t>
        </is>
      </c>
      <c r="AA86" s="12" t="n">
        <v>80</v>
      </c>
      <c r="AB86" s="15" t="inlineStr">
        <is>
          <t>One day (-7.4%) did 81% of the 10-day move. The trend rests on a single jump.</t>
        </is>
      </c>
      <c r="AC86" s="6" t="inlineStr">
        <is>
          <t>ok</t>
        </is>
      </c>
      <c r="AD86" s="6" t="inlineStr">
        <is>
          <t>up</t>
        </is>
      </c>
      <c r="AE86" s="17" t="n">
        <v>450.3744</v>
      </c>
      <c r="AF86" s="17" t="n">
        <v>425.9885</v>
      </c>
      <c r="AG86" s="17" t="n">
        <v>474.7603</v>
      </c>
      <c r="AH86" s="20" t="n">
        <v>46331</v>
      </c>
      <c r="AI86" s="18" t="n">
        <v>0.54</v>
      </c>
      <c r="AJ86" s="6" t="inlineStr">
        <is>
          <t>ok</t>
        </is>
      </c>
      <c r="AK86" s="12" t="n">
        <v>4</v>
      </c>
      <c r="AL86" s="15" t="inlineStr">
        <is>
          <t>Reported Earlier, Marathon Petroleum Raises Quarterly Dividend 10% To $1.10 Per Share From $1.00, Payable Dec. 10, 2026, To Shareholders Of Record As Of Nov. 18</t>
        </is>
      </c>
      <c r="AM86" s="17" t="n">
        <v>440.62</v>
      </c>
      <c r="AN86" s="19" t="n">
        <v>0.0108</v>
      </c>
      <c r="AO86" s="17" t="n">
        <v>100191.79</v>
      </c>
      <c r="AP86" s="17" t="n">
        <v>100191.79</v>
      </c>
      <c r="AQ86" s="19" t="n">
        <v>0.0833</v>
      </c>
      <c r="AR86" s="16" t="n"/>
      <c r="AS86" s="17" t="n"/>
      <c r="AT86" s="19" t="n"/>
      <c r="AU86" s="6" t="inlineStr">
        <is>
          <t>paper</t>
        </is>
      </c>
      <c r="AV86" s="6" t="inlineStr">
        <is>
          <t>290918e4-4d4f-4c2f-af48-d921cb97a8b1</t>
        </is>
      </c>
      <c r="AW86" s="6" t="inlineStr">
        <is>
          <t>tdagent-buy-MPC-1793280648508</t>
        </is>
      </c>
      <c r="AX86" s="13" t="n">
        <v>46324.56305555555</v>
      </c>
      <c r="AY86" s="13" t="n">
        <v>46324.56473379629</v>
      </c>
      <c r="AZ86" s="13" t="n">
        <v>46324.56267361111</v>
      </c>
      <c r="BA86" s="6" t="n"/>
    </row>
    <row r="87">
      <c r="A87" s="12" t="n">
        <v>86</v>
      </c>
      <c r="B87" s="13" t="n">
        <v>46324.60722222222</v>
      </c>
      <c r="C87" s="13" t="n">
        <v>46324.39888888889</v>
      </c>
      <c r="D87" s="13" t="n">
        <v>46324.56555555556</v>
      </c>
      <c r="E87" s="14" t="inlineStr">
        <is>
          <t>BUY</t>
        </is>
      </c>
      <c r="F87" s="6" t="inlineStr">
        <is>
          <t>MA</t>
        </is>
      </c>
      <c r="G87" s="15" t="inlineStr">
        <is>
          <t>Mastercard Incorporated</t>
        </is>
      </c>
      <c r="H87" s="6" t="inlineStr">
        <is>
          <t>NYSE</t>
        </is>
      </c>
      <c r="I87" s="6" t="inlineStr">
        <is>
          <t>filled</t>
        </is>
      </c>
      <c r="J87" s="16" t="n">
        <v>13.053417297</v>
      </c>
      <c r="K87" s="17" t="n">
        <v>639.369739</v>
      </c>
      <c r="L87" s="17">
        <f>IF(AND(ISNUMBER(J87),ISNUMBER(K87)),J87*K87,"")</f>
        <v/>
      </c>
      <c r="M87" s="17" t="n">
        <v>8345.969999999999</v>
      </c>
      <c r="N87" s="16" t="n"/>
      <c r="O87" s="6" t="inlineStr">
        <is>
          <t>4+/5 green</t>
        </is>
      </c>
      <c r="P87" s="15" t="inlineStr">
        <is>
          <t>4 of 5 green, time machine green, rank #14, 8.33% of the $100,191.79 free cash split 12 ways</t>
        </is>
      </c>
      <c r="Q87" s="12" t="n">
        <v>4</v>
      </c>
      <c r="R87" s="6" t="inlineStr">
        <is>
          <t>ok</t>
        </is>
      </c>
      <c r="S87" s="18" t="n">
        <v>0.553</v>
      </c>
      <c r="T87" s="12" t="n">
        <v>47</v>
      </c>
      <c r="U87" s="19" t="n">
        <v>0.006500000000000001</v>
      </c>
      <c r="V87" s="19" t="n">
        <v>-0.1395</v>
      </c>
      <c r="W87" s="12" t="n">
        <v>14</v>
      </c>
      <c r="X87" s="6" t="inlineStr">
        <is>
          <t>ok</t>
        </is>
      </c>
      <c r="Y87" s="19" t="n">
        <v>0</v>
      </c>
      <c r="Z87" s="6" t="inlineStr">
        <is>
          <t>ok</t>
        </is>
      </c>
      <c r="AA87" s="12" t="n">
        <v>100</v>
      </c>
      <c r="AB87" s="15" t="n"/>
      <c r="AC87" s="6" t="inlineStr">
        <is>
          <t>ok</t>
        </is>
      </c>
      <c r="AD87" s="6" t="inlineStr">
        <is>
          <t>up</t>
        </is>
      </c>
      <c r="AE87" s="17" t="n">
        <v>617.0697</v>
      </c>
      <c r="AF87" s="17" t="n">
        <v>601.3704</v>
      </c>
      <c r="AG87" s="17" t="n">
        <v>632.769</v>
      </c>
      <c r="AH87" s="20" t="n">
        <v>46331</v>
      </c>
      <c r="AI87" s="18" t="n">
        <v>0.5600000000000001</v>
      </c>
      <c r="AJ87" s="6" t="inlineStr">
        <is>
          <t>watch</t>
        </is>
      </c>
      <c r="AK87" s="12" t="n">
        <v>10</v>
      </c>
      <c r="AL87" s="15" t="inlineStr">
        <is>
          <t>Msatercard CEO Says While There Continues To Be Economic And Geopolitical Uncertainty, Consumers Continue To Spend</t>
        </is>
      </c>
      <c r="AM87" s="17" t="n">
        <v>610.79</v>
      </c>
      <c r="AN87" s="19" t="n">
        <v>0.0015</v>
      </c>
      <c r="AO87" s="17" t="n">
        <v>100191.79</v>
      </c>
      <c r="AP87" s="17" t="n">
        <v>100191.79</v>
      </c>
      <c r="AQ87" s="19" t="n">
        <v>0.0833</v>
      </c>
      <c r="AR87" s="16" t="n"/>
      <c r="AS87" s="17" t="n"/>
      <c r="AT87" s="19" t="n"/>
      <c r="AU87" s="6" t="inlineStr">
        <is>
          <t>paper</t>
        </is>
      </c>
      <c r="AV87" s="6" t="inlineStr">
        <is>
          <t>456ab71a-6843-4001-b9a0-e1c7c379c39f</t>
        </is>
      </c>
      <c r="AW87" s="6" t="inlineStr">
        <is>
          <t>tdagent-buy-MA-1793280648546</t>
        </is>
      </c>
      <c r="AX87" s="13" t="n">
        <v>46324.56305555555</v>
      </c>
      <c r="AY87" s="13" t="n">
        <v>46324.56555555556</v>
      </c>
      <c r="AZ87" s="13" t="n">
        <v>46324.56267361111</v>
      </c>
      <c r="BA87" s="6" t="n"/>
    </row>
    <row r="88">
      <c r="A88" s="12" t="n">
        <v>87</v>
      </c>
      <c r="B88" s="13" t="n">
        <v>46324.6747337963</v>
      </c>
      <c r="C88" s="13" t="n">
        <v>46324.46640046296</v>
      </c>
      <c r="D88" s="13" t="n">
        <v>46324.63306712963</v>
      </c>
      <c r="E88" s="21" t="inlineStr">
        <is>
          <t>SELL</t>
        </is>
      </c>
      <c r="F88" s="6" t="inlineStr">
        <is>
          <t>MPC</t>
        </is>
      </c>
      <c r="G88" s="15" t="inlineStr">
        <is>
          <t>MPC</t>
        </is>
      </c>
      <c r="H88" s="6" t="inlineStr">
        <is>
          <t>NYSE</t>
        </is>
      </c>
      <c r="I88" s="6" t="inlineStr">
        <is>
          <t>filled</t>
        </is>
      </c>
      <c r="J88" s="16" t="n">
        <v>18.846467973</v>
      </c>
      <c r="K88" s="17" t="n">
        <v>421.33</v>
      </c>
      <c r="L88" s="17">
        <f>IF(AND(ISNUMBER(J88),ISNUMBER(K88)),J88*K88,"")</f>
        <v/>
      </c>
      <c r="M88" s="17" t="n"/>
      <c r="N88" s="16" t="n">
        <v>18.846467973</v>
      </c>
      <c r="O88" s="6" t="inlineStr">
        <is>
          <t>bad day</t>
        </is>
      </c>
      <c r="P88" s="15" t="inlineStr">
        <is>
          <t>Bad day: down 4.3% today and only 4 of 5 green</t>
        </is>
      </c>
      <c r="Q88" s="12" t="n">
        <v>4</v>
      </c>
      <c r="R88" s="6" t="inlineStr">
        <is>
          <t>ok</t>
        </is>
      </c>
      <c r="S88" s="18" t="n">
        <v>0.6820000000000001</v>
      </c>
      <c r="T88" s="12" t="n">
        <v>85</v>
      </c>
      <c r="U88" s="19" t="n">
        <v>0.0254</v>
      </c>
      <c r="V88" s="19" t="n">
        <v>-0.1395</v>
      </c>
      <c r="W88" s="12" t="n"/>
      <c r="X88" s="6" t="inlineStr">
        <is>
          <t>watch</t>
        </is>
      </c>
      <c r="Y88" s="19" t="n">
        <v>0.0036</v>
      </c>
      <c r="Z88" s="6" t="inlineStr">
        <is>
          <t>ok</t>
        </is>
      </c>
      <c r="AA88" s="12" t="n">
        <v>100</v>
      </c>
      <c r="AB88" s="15" t="n"/>
      <c r="AC88" s="6" t="inlineStr">
        <is>
          <t>ok</t>
        </is>
      </c>
      <c r="AD88" s="6" t="inlineStr">
        <is>
          <t>up</t>
        </is>
      </c>
      <c r="AE88" s="17" t="n">
        <v>431.5162</v>
      </c>
      <c r="AF88" s="17" t="n">
        <v>408.3508</v>
      </c>
      <c r="AG88" s="17" t="n">
        <v>454.6815</v>
      </c>
      <c r="AH88" s="20" t="n">
        <v>46331</v>
      </c>
      <c r="AI88" s="18" t="n">
        <v>0.53</v>
      </c>
      <c r="AJ88" s="6" t="inlineStr">
        <is>
          <t>ok</t>
        </is>
      </c>
      <c r="AK88" s="12" t="n">
        <v>4</v>
      </c>
      <c r="AL88" s="15" t="inlineStr">
        <is>
          <t>Reported Earlier, Marathon Petroleum Raises Quarterly Dividend 10% To $1.10 Per Share From $1.00, Payable Dec. 10, 2026, To Shareholders Of Record As Of Nov. 18</t>
        </is>
      </c>
      <c r="AM88" s="17" t="n">
        <v>422.25</v>
      </c>
      <c r="AN88" s="19" t="n">
        <v>-0.0417</v>
      </c>
      <c r="AO88" s="17" t="n">
        <v>99315.96000000001</v>
      </c>
      <c r="AP88" s="17" t="n">
        <v>40.27</v>
      </c>
      <c r="AQ88" s="19" t="n">
        <v>0.0833</v>
      </c>
      <c r="AR88" s="16" t="n">
        <v>18.846467973</v>
      </c>
      <c r="AS88" s="17" t="n">
        <v>442.839476</v>
      </c>
      <c r="AT88" s="19" t="n">
        <v>-0.0476</v>
      </c>
      <c r="AU88" s="6" t="inlineStr">
        <is>
          <t>paper</t>
        </is>
      </c>
      <c r="AV88" s="6" t="inlineStr">
        <is>
          <t>ffdb00ef-b2db-4f38-8488-0fe2b35782a8</t>
        </is>
      </c>
      <c r="AW88" s="6" t="inlineStr">
        <is>
          <t>tdagent-sell-MPC-1793286695996</t>
        </is>
      </c>
      <c r="AX88" s="13" t="n">
        <v>46324.63304398148</v>
      </c>
      <c r="AY88" s="13" t="n">
        <v>46324.63306712963</v>
      </c>
      <c r="AZ88" s="13" t="n">
        <v>46324.63278935185</v>
      </c>
      <c r="BA88" s="6" t="n"/>
    </row>
    <row r="89">
      <c r="A89" s="12" t="n">
        <v>88</v>
      </c>
      <c r="B89" s="13" t="n">
        <v>46324.67833333334</v>
      </c>
      <c r="C89" s="13" t="n">
        <v>46324.47</v>
      </c>
      <c r="D89" s="13" t="n">
        <v>46324.63666666667</v>
      </c>
      <c r="E89" s="14" t="inlineStr">
        <is>
          <t>BUY</t>
        </is>
      </c>
      <c r="F89" s="6" t="inlineStr">
        <is>
          <t>VEEV</t>
        </is>
      </c>
      <c r="G89" s="15" t="inlineStr">
        <is>
          <t>Veeva Systems Inc.</t>
        </is>
      </c>
      <c r="H89" s="6" t="inlineStr">
        <is>
          <t>NYSE</t>
        </is>
      </c>
      <c r="I89" s="6" t="inlineStr">
        <is>
          <t>filled</t>
        </is>
      </c>
      <c r="J89" s="16" t="n">
        <v>2.132719514</v>
      </c>
      <c r="K89" s="17" t="n">
        <v>311.71</v>
      </c>
      <c r="L89" s="17">
        <f>IF(AND(ISNUMBER(J89),ISNUMBER(K89)),J89*K89,"")</f>
        <v/>
      </c>
      <c r="M89" s="17" t="n">
        <v>664.8</v>
      </c>
      <c r="N89" s="16" t="n"/>
      <c r="O89" s="6" t="inlineStr">
        <is>
          <t>4+/5 green</t>
        </is>
      </c>
      <c r="P89" s="15" t="inlineStr">
        <is>
          <t>5 of 5 green, time machine green, rank #1, 8.33% of the $7,980.85 free cash split 12 ways</t>
        </is>
      </c>
      <c r="Q89" s="12" t="n">
        <v>5</v>
      </c>
      <c r="R89" s="6" t="inlineStr">
        <is>
          <t>ok</t>
        </is>
      </c>
      <c r="S89" s="18" t="n">
        <v>0.868</v>
      </c>
      <c r="T89" s="12" t="n">
        <v>38</v>
      </c>
      <c r="U89" s="19" t="n">
        <v>0.0567</v>
      </c>
      <c r="V89" s="19" t="n">
        <v>-0.1395</v>
      </c>
      <c r="W89" s="12" t="n">
        <v>1</v>
      </c>
      <c r="X89" s="6" t="inlineStr">
        <is>
          <t>ok</t>
        </is>
      </c>
      <c r="Y89" s="19" t="n">
        <v>0.0016</v>
      </c>
      <c r="Z89" s="6" t="inlineStr">
        <is>
          <t>ok</t>
        </is>
      </c>
      <c r="AA89" s="12" t="n">
        <v>100</v>
      </c>
      <c r="AB89" s="15" t="n"/>
      <c r="AC89" s="6" t="inlineStr">
        <is>
          <t>ok</t>
        </is>
      </c>
      <c r="AD89" s="6" t="inlineStr">
        <is>
          <t>up</t>
        </is>
      </c>
      <c r="AE89" s="17" t="n">
        <v>319.9537</v>
      </c>
      <c r="AF89" s="17" t="n">
        <v>300.332</v>
      </c>
      <c r="AG89" s="17" t="n">
        <v>339.5754</v>
      </c>
      <c r="AH89" s="20" t="n">
        <v>46331</v>
      </c>
      <c r="AI89" s="18" t="n">
        <v>0.55</v>
      </c>
      <c r="AJ89" s="6" t="inlineStr">
        <is>
          <t>ok</t>
        </is>
      </c>
      <c r="AK89" s="12" t="n">
        <v>4</v>
      </c>
      <c r="AL89" s="15" t="inlineStr">
        <is>
          <t>Mizuho Adjusts Price Target on Veeva Systems</t>
        </is>
      </c>
      <c r="AM89" s="17" t="n">
        <v>311.6</v>
      </c>
      <c r="AN89" s="19" t="n">
        <v>-0.0183</v>
      </c>
      <c r="AO89" s="17" t="n">
        <v>99368.08</v>
      </c>
      <c r="AP89" s="17" t="n">
        <v>7980.85</v>
      </c>
      <c r="AQ89" s="19" t="n">
        <v>0.0833</v>
      </c>
      <c r="AR89" s="16" t="n"/>
      <c r="AS89" s="17" t="n"/>
      <c r="AT89" s="19" t="n"/>
      <c r="AU89" s="6" t="inlineStr">
        <is>
          <t>paper</t>
        </is>
      </c>
      <c r="AV89" s="6" t="inlineStr">
        <is>
          <t>432ddb49-7fbc-49b5-9550-5546f03e0680</t>
        </is>
      </c>
      <c r="AW89" s="6" t="inlineStr">
        <is>
          <t>tdagent-buy-VEEV-1793287007828</t>
        </is>
      </c>
      <c r="AX89" s="13" t="n">
        <v>46324.6366550926</v>
      </c>
      <c r="AY89" s="13" t="n">
        <v>46324.63666666667</v>
      </c>
      <c r="AZ89" s="13" t="n">
        <v>46324.63631944444</v>
      </c>
      <c r="BA89" s="6" t="n"/>
    </row>
    <row r="90">
      <c r="A90" s="12" t="n">
        <v>89</v>
      </c>
      <c r="B90" s="13" t="n">
        <v>46324.67834490741</v>
      </c>
      <c r="C90" s="13" t="n">
        <v>46324.47001157407</v>
      </c>
      <c r="D90" s="13" t="n">
        <v>46324.63667824074</v>
      </c>
      <c r="E90" s="14" t="inlineStr">
        <is>
          <t>BUY</t>
        </is>
      </c>
      <c r="F90" s="6" t="inlineStr">
        <is>
          <t>AVTR</t>
        </is>
      </c>
      <c r="G90" s="15" t="inlineStr">
        <is>
          <t>Avantor, Inc.</t>
        </is>
      </c>
      <c r="H90" s="6" t="inlineStr">
        <is>
          <t>NYSE</t>
        </is>
      </c>
      <c r="I90" s="6" t="inlineStr">
        <is>
          <t>filled</t>
        </is>
      </c>
      <c r="J90" s="16" t="n">
        <v>40.314736203</v>
      </c>
      <c r="K90" s="17" t="n">
        <v>16.49</v>
      </c>
      <c r="L90" s="17">
        <f>IF(AND(ISNUMBER(J90),ISNUMBER(K90)),J90*K90,"")</f>
        <v/>
      </c>
      <c r="M90" s="17" t="n">
        <v>664.8</v>
      </c>
      <c r="N90" s="16" t="n"/>
      <c r="O90" s="6" t="inlineStr">
        <is>
          <t>4+/5 green</t>
        </is>
      </c>
      <c r="P90" s="15" t="inlineStr">
        <is>
          <t>5 of 5 green, time machine green, rank #2, 8.33% of the $7,980.85 free cash split 12 ways</t>
        </is>
      </c>
      <c r="Q90" s="12" t="n">
        <v>5</v>
      </c>
      <c r="R90" s="6" t="inlineStr">
        <is>
          <t>ok</t>
        </is>
      </c>
      <c r="S90" s="18" t="n">
        <v>0.823</v>
      </c>
      <c r="T90" s="12" t="n">
        <v>62</v>
      </c>
      <c r="U90" s="19" t="n">
        <v>0.0453</v>
      </c>
      <c r="V90" s="19" t="n">
        <v>-0.1395</v>
      </c>
      <c r="W90" s="12" t="n">
        <v>2</v>
      </c>
      <c r="X90" s="6" t="inlineStr">
        <is>
          <t>ok</t>
        </is>
      </c>
      <c r="Y90" s="19" t="n">
        <v>0.0003</v>
      </c>
      <c r="Z90" s="6" t="inlineStr">
        <is>
          <t>ok</t>
        </is>
      </c>
      <c r="AA90" s="12" t="n">
        <v>100</v>
      </c>
      <c r="AB90" s="15" t="n"/>
      <c r="AC90" s="6" t="inlineStr">
        <is>
          <t>ok</t>
        </is>
      </c>
      <c r="AD90" s="6" t="inlineStr">
        <is>
          <t>up</t>
        </is>
      </c>
      <c r="AE90" s="17" t="n">
        <v>16.739</v>
      </c>
      <c r="AF90" s="17" t="n">
        <v>16.0789</v>
      </c>
      <c r="AG90" s="17" t="n">
        <v>17.3992</v>
      </c>
      <c r="AH90" s="20" t="n">
        <v>46331</v>
      </c>
      <c r="AI90" s="18" t="n">
        <v>0.5600000000000001</v>
      </c>
      <c r="AJ90" s="6" t="inlineStr">
        <is>
          <t>ok</t>
        </is>
      </c>
      <c r="AK90" s="12" t="n">
        <v>5</v>
      </c>
      <c r="AL90" s="15" t="inlineStr">
        <is>
          <t>Barclays Maintains Underweight on Avantor, Raises Price Target to $16</t>
        </is>
      </c>
      <c r="AM90" s="17" t="n">
        <v>16.47</v>
      </c>
      <c r="AN90" s="19" t="n">
        <v>-0.0123</v>
      </c>
      <c r="AO90" s="17" t="n">
        <v>99368.08</v>
      </c>
      <c r="AP90" s="17" t="n">
        <v>7980.85</v>
      </c>
      <c r="AQ90" s="19" t="n">
        <v>0.0833</v>
      </c>
      <c r="AR90" s="16" t="n"/>
      <c r="AS90" s="17" t="n"/>
      <c r="AT90" s="19" t="n"/>
      <c r="AU90" s="6" t="inlineStr">
        <is>
          <t>paper</t>
        </is>
      </c>
      <c r="AV90" s="6" t="inlineStr">
        <is>
          <t>2846835a-3061-47df-84bc-c57549c0d863</t>
        </is>
      </c>
      <c r="AW90" s="6" t="inlineStr">
        <is>
          <t>tdagent-buy-AVTR-1793287008089</t>
        </is>
      </c>
      <c r="AX90" s="13" t="n">
        <v>46324.63666666667</v>
      </c>
      <c r="AY90" s="13" t="n">
        <v>46324.63667824074</v>
      </c>
      <c r="AZ90" s="13" t="n">
        <v>46324.63631944444</v>
      </c>
      <c r="BA90" s="6" t="n"/>
    </row>
    <row r="91">
      <c r="A91" s="12" t="n">
        <v>90</v>
      </c>
      <c r="B91" s="13" t="n">
        <v>46324.67834490741</v>
      </c>
      <c r="C91" s="13" t="n">
        <v>46324.47001157407</v>
      </c>
      <c r="D91" s="13" t="n">
        <v>46324.63667824074</v>
      </c>
      <c r="E91" s="14" t="inlineStr">
        <is>
          <t>BUY</t>
        </is>
      </c>
      <c r="F91" s="6" t="inlineStr">
        <is>
          <t>ABBV</t>
        </is>
      </c>
      <c r="G91" s="15" t="inlineStr">
        <is>
          <t>ABBVIE INC.</t>
        </is>
      </c>
      <c r="H91" s="6" t="inlineStr">
        <is>
          <t>NYSE</t>
        </is>
      </c>
      <c r="I91" s="6" t="inlineStr">
        <is>
          <t>filled</t>
        </is>
      </c>
      <c r="J91" s="16" t="n">
        <v>2.290483737</v>
      </c>
      <c r="K91" s="17" t="n">
        <v>290.24</v>
      </c>
      <c r="L91" s="17">
        <f>IF(AND(ISNUMBER(J91),ISNUMBER(K91)),J91*K91,"")</f>
        <v/>
      </c>
      <c r="M91" s="17" t="n">
        <v>664.8</v>
      </c>
      <c r="N91" s="16" t="n"/>
      <c r="O91" s="6" t="inlineStr">
        <is>
          <t>4+/5 green</t>
        </is>
      </c>
      <c r="P91" s="15" t="inlineStr">
        <is>
          <t>5 of 5 green, time machine green, rank #3, 8.33% of the $7,980.85 free cash split 12 ways</t>
        </is>
      </c>
      <c r="Q91" s="12" t="n">
        <v>5</v>
      </c>
      <c r="R91" s="6" t="inlineStr">
        <is>
          <t>ok</t>
        </is>
      </c>
      <c r="S91" s="18" t="n">
        <v>0.667</v>
      </c>
      <c r="T91" s="12" t="n">
        <v>39</v>
      </c>
      <c r="U91" s="19" t="n">
        <v>0.0177</v>
      </c>
      <c r="V91" s="19" t="n">
        <v>-0.1395</v>
      </c>
      <c r="W91" s="12" t="n">
        <v>3</v>
      </c>
      <c r="X91" s="6" t="inlineStr">
        <is>
          <t>ok</t>
        </is>
      </c>
      <c r="Y91" s="19" t="n">
        <v>0.0001</v>
      </c>
      <c r="Z91" s="6" t="inlineStr">
        <is>
          <t>ok</t>
        </is>
      </c>
      <c r="AA91" s="12" t="n">
        <v>100</v>
      </c>
      <c r="AB91" s="15" t="n"/>
      <c r="AC91" s="6" t="inlineStr">
        <is>
          <t>ok</t>
        </is>
      </c>
      <c r="AD91" s="6" t="inlineStr">
        <is>
          <t>up</t>
        </is>
      </c>
      <c r="AE91" s="17" t="n">
        <v>293.3377</v>
      </c>
      <c r="AF91" s="17" t="n">
        <v>285.3184</v>
      </c>
      <c r="AG91" s="17" t="n">
        <v>301.3571</v>
      </c>
      <c r="AH91" s="20" t="n">
        <v>46331</v>
      </c>
      <c r="AI91" s="18" t="n">
        <v>0.57</v>
      </c>
      <c r="AJ91" s="6" t="inlineStr">
        <is>
          <t>ok</t>
        </is>
      </c>
      <c r="AK91" s="12" t="n">
        <v>4</v>
      </c>
      <c r="AL91" s="15" t="inlineStr">
        <is>
          <t>Steve Jobs' Son Says GLP-1 Weight Loss Drugs Could Be Among Most Important Medicines Ever, With Potential Impact on Cancer</t>
        </is>
      </c>
      <c r="AM91" s="17" t="n">
        <v>290.1</v>
      </c>
      <c r="AN91" s="19" t="n">
        <v>0.0135</v>
      </c>
      <c r="AO91" s="17" t="n">
        <v>99368.08</v>
      </c>
      <c r="AP91" s="17" t="n">
        <v>7980.85</v>
      </c>
      <c r="AQ91" s="19" t="n">
        <v>0.0833</v>
      </c>
      <c r="AR91" s="16" t="n"/>
      <c r="AS91" s="17" t="n"/>
      <c r="AT91" s="19" t="n"/>
      <c r="AU91" s="6" t="inlineStr">
        <is>
          <t>paper</t>
        </is>
      </c>
      <c r="AV91" s="6" t="inlineStr">
        <is>
          <t>6e3e1966-fed1-4e2c-8f60-4d6a94ba2b8f</t>
        </is>
      </c>
      <c r="AW91" s="6" t="inlineStr">
        <is>
          <t>tdagent-buy-ABBV-1793287008370</t>
        </is>
      </c>
      <c r="AX91" s="13" t="n">
        <v>46324.63666666667</v>
      </c>
      <c r="AY91" s="13" t="n">
        <v>46324.63667824074</v>
      </c>
      <c r="AZ91" s="13" t="n">
        <v>46324.63631944444</v>
      </c>
      <c r="BA91" s="6" t="n"/>
    </row>
    <row r="92">
      <c r="A92" s="12" t="n">
        <v>91</v>
      </c>
      <c r="B92" s="13" t="n">
        <v>46324.67834490741</v>
      </c>
      <c r="C92" s="13" t="n">
        <v>46324.47001157407</v>
      </c>
      <c r="D92" s="13" t="n">
        <v>46324.63667824074</v>
      </c>
      <c r="E92" s="14" t="inlineStr">
        <is>
          <t>BUY</t>
        </is>
      </c>
      <c r="F92" s="6" t="inlineStr">
        <is>
          <t>XOM</t>
        </is>
      </c>
      <c r="G92" s="15" t="inlineStr">
        <is>
          <t>ExxonMobil Holdings Corporation</t>
        </is>
      </c>
      <c r="H92" s="6" t="inlineStr">
        <is>
          <t>NYSE</t>
        </is>
      </c>
      <c r="I92" s="6" t="inlineStr">
        <is>
          <t>filled</t>
        </is>
      </c>
      <c r="J92" s="16" t="n">
        <v>3.658320493</v>
      </c>
      <c r="K92" s="17" t="n">
        <v>181.72</v>
      </c>
      <c r="L92" s="17">
        <f>IF(AND(ISNUMBER(J92),ISNUMBER(K92)),J92*K92,"")</f>
        <v/>
      </c>
      <c r="M92" s="17" t="n">
        <v>664.8</v>
      </c>
      <c r="N92" s="16" t="n"/>
      <c r="O92" s="6" t="inlineStr">
        <is>
          <t>4+/5 green</t>
        </is>
      </c>
      <c r="P92" s="15" t="inlineStr">
        <is>
          <t>5 of 5 green, time machine green, rank #4, 8.33% of the $7,980.85 free cash split 12 ways</t>
        </is>
      </c>
      <c r="Q92" s="12" t="n">
        <v>5</v>
      </c>
      <c r="R92" s="6" t="inlineStr">
        <is>
          <t>ok</t>
        </is>
      </c>
      <c r="S92" s="18" t="n">
        <v>0.624</v>
      </c>
      <c r="T92" s="12" t="n">
        <v>93</v>
      </c>
      <c r="U92" s="19" t="n">
        <v>0.0119</v>
      </c>
      <c r="V92" s="19" t="n">
        <v>-0.1395</v>
      </c>
      <c r="W92" s="12" t="n">
        <v>4</v>
      </c>
      <c r="X92" s="6" t="inlineStr">
        <is>
          <t>ok</t>
        </is>
      </c>
      <c r="Y92" s="19" t="n">
        <v>0.0001</v>
      </c>
      <c r="Z92" s="6" t="inlineStr">
        <is>
          <t>ok</t>
        </is>
      </c>
      <c r="AA92" s="12" t="n">
        <v>100</v>
      </c>
      <c r="AB92" s="15" t="n"/>
      <c r="AC92" s="6" t="inlineStr">
        <is>
          <t>ok</t>
        </is>
      </c>
      <c r="AD92" s="6" t="inlineStr">
        <is>
          <t>up</t>
        </is>
      </c>
      <c r="AE92" s="17" t="n">
        <v>184.0513</v>
      </c>
      <c r="AF92" s="17" t="n">
        <v>177.9106</v>
      </c>
      <c r="AG92" s="17" t="n">
        <v>190.1919</v>
      </c>
      <c r="AH92" s="20" t="n">
        <v>46331</v>
      </c>
      <c r="AI92" s="18" t="n">
        <v>0.57</v>
      </c>
      <c r="AJ92" s="6" t="inlineStr">
        <is>
          <t>ok</t>
        </is>
      </c>
      <c r="AK92" s="12" t="n">
        <v>4</v>
      </c>
      <c r="AL92" s="15" t="inlineStr">
        <is>
          <t>Top 3 Energy Stocks You May Want To Dump In Q4</t>
        </is>
      </c>
      <c r="AM92" s="17" t="n">
        <v>181.595</v>
      </c>
      <c r="AN92" s="19" t="n">
        <v>-0.0027</v>
      </c>
      <c r="AO92" s="17" t="n">
        <v>99368.08</v>
      </c>
      <c r="AP92" s="17" t="n">
        <v>7980.85</v>
      </c>
      <c r="AQ92" s="19" t="n">
        <v>0.0833</v>
      </c>
      <c r="AR92" s="16" t="n"/>
      <c r="AS92" s="17" t="n"/>
      <c r="AT92" s="19" t="n"/>
      <c r="AU92" s="6" t="inlineStr">
        <is>
          <t>paper</t>
        </is>
      </c>
      <c r="AV92" s="6" t="inlineStr">
        <is>
          <t>894141b0-8346-46b3-a49c-bbf0dbf99138</t>
        </is>
      </c>
      <c r="AW92" s="6" t="inlineStr">
        <is>
          <t>tdagent-buy-XOM-1793287008620</t>
        </is>
      </c>
      <c r="AX92" s="13" t="n">
        <v>46324.63666666667</v>
      </c>
      <c r="AY92" s="13" t="n">
        <v>46324.63667824074</v>
      </c>
      <c r="AZ92" s="13" t="n">
        <v>46324.63631944444</v>
      </c>
      <c r="BA92" s="6" t="n"/>
    </row>
    <row r="93">
      <c r="A93" s="12" t="n">
        <v>92</v>
      </c>
      <c r="B93" s="13" t="n">
        <v>46324.67835648148</v>
      </c>
      <c r="C93" s="13" t="n">
        <v>46324.47002314815</v>
      </c>
      <c r="D93" s="13" t="n">
        <v>46324.63668981481</v>
      </c>
      <c r="E93" s="14" t="inlineStr">
        <is>
          <t>BUY</t>
        </is>
      </c>
      <c r="F93" s="6" t="inlineStr">
        <is>
          <t>DT</t>
        </is>
      </c>
      <c r="G93" s="15" t="inlineStr">
        <is>
          <t>Dynatrace, Inc.</t>
        </is>
      </c>
      <c r="H93" s="6" t="inlineStr">
        <is>
          <t>NYSE</t>
        </is>
      </c>
      <c r="I93" s="6" t="inlineStr">
        <is>
          <t>filled</t>
        </is>
      </c>
      <c r="J93" s="16" t="n">
        <v>10.943045267</v>
      </c>
      <c r="K93" s="17" t="n">
        <v>60.75</v>
      </c>
      <c r="L93" s="17">
        <f>IF(AND(ISNUMBER(J93),ISNUMBER(K93)),J93*K93,"")</f>
        <v/>
      </c>
      <c r="M93" s="17" t="n">
        <v>664.8</v>
      </c>
      <c r="N93" s="16" t="n"/>
      <c r="O93" s="6" t="inlineStr">
        <is>
          <t>4+/5 green</t>
        </is>
      </c>
      <c r="P93" s="15" t="inlineStr">
        <is>
          <t>5 of 5 green, time machine green, rank #5, 8.33% of the $7,980.85 free cash split 12 ways</t>
        </is>
      </c>
      <c r="Q93" s="12" t="n">
        <v>5</v>
      </c>
      <c r="R93" s="6" t="inlineStr">
        <is>
          <t>ok</t>
        </is>
      </c>
      <c r="S93" s="18" t="n">
        <v>0.635</v>
      </c>
      <c r="T93" s="12" t="n">
        <v>52</v>
      </c>
      <c r="U93" s="19" t="n">
        <v>0.0125</v>
      </c>
      <c r="V93" s="19" t="n">
        <v>-0.1395</v>
      </c>
      <c r="W93" s="12" t="n">
        <v>5</v>
      </c>
      <c r="X93" s="6" t="inlineStr">
        <is>
          <t>ok</t>
        </is>
      </c>
      <c r="Y93" s="19" t="n">
        <v>0.0002</v>
      </c>
      <c r="Z93" s="6" t="inlineStr">
        <is>
          <t>ok</t>
        </is>
      </c>
      <c r="AA93" s="12" t="n">
        <v>100</v>
      </c>
      <c r="AB93" s="15" t="n"/>
      <c r="AC93" s="6" t="inlineStr">
        <is>
          <t>ok</t>
        </is>
      </c>
      <c r="AD93" s="6" t="inlineStr">
        <is>
          <t>up</t>
        </is>
      </c>
      <c r="AE93" s="17" t="n">
        <v>62.0102</v>
      </c>
      <c r="AF93" s="17" t="n">
        <v>59.0097</v>
      </c>
      <c r="AG93" s="17" t="n">
        <v>65.0106</v>
      </c>
      <c r="AH93" s="20" t="n">
        <v>46331</v>
      </c>
      <c r="AI93" s="18" t="n">
        <v>0.54</v>
      </c>
      <c r="AJ93" s="6" t="inlineStr">
        <is>
          <t>ok</t>
        </is>
      </c>
      <c r="AK93" s="12" t="n">
        <v>4</v>
      </c>
      <c r="AL93" s="15" t="inlineStr">
        <is>
          <t>Rosenblatt Maintains Buy on Dynatrace, Raises Price Target to $70</t>
        </is>
      </c>
      <c r="AM93" s="17" t="n">
        <v>60.8</v>
      </c>
      <c r="AN93" s="19" t="n">
        <v>-0.0329</v>
      </c>
      <c r="AO93" s="17" t="n">
        <v>99368.08</v>
      </c>
      <c r="AP93" s="17" t="n">
        <v>7980.85</v>
      </c>
      <c r="AQ93" s="19" t="n">
        <v>0.0833</v>
      </c>
      <c r="AR93" s="16" t="n"/>
      <c r="AS93" s="17" t="n"/>
      <c r="AT93" s="19" t="n"/>
      <c r="AU93" s="6" t="inlineStr">
        <is>
          <t>paper</t>
        </is>
      </c>
      <c r="AV93" s="6" t="inlineStr">
        <is>
          <t>80a8cba4-7fd6-4ee7-9cb9-d4b67e28d726</t>
        </is>
      </c>
      <c r="AW93" s="6" t="inlineStr">
        <is>
          <t>tdagent-buy-DT-1793287008877</t>
        </is>
      </c>
      <c r="AX93" s="13" t="n">
        <v>46324.63666666667</v>
      </c>
      <c r="AY93" s="13" t="n">
        <v>46324.63668981481</v>
      </c>
      <c r="AZ93" s="13" t="n">
        <v>46324.63631944444</v>
      </c>
      <c r="BA93" s="6" t="n"/>
    </row>
    <row r="94">
      <c r="A94" s="12" t="n">
        <v>93</v>
      </c>
      <c r="B94" s="13" t="n">
        <v>46324.67835648148</v>
      </c>
      <c r="C94" s="13" t="n">
        <v>46324.47002314815</v>
      </c>
      <c r="D94" s="13" t="n">
        <v>46324.63668981481</v>
      </c>
      <c r="E94" s="14" t="inlineStr">
        <is>
          <t>BUY</t>
        </is>
      </c>
      <c r="F94" s="6" t="inlineStr">
        <is>
          <t>DUK</t>
        </is>
      </c>
      <c r="G94" s="15" t="inlineStr">
        <is>
          <t>Duke Energy Corporation</t>
        </is>
      </c>
      <c r="H94" s="6" t="inlineStr">
        <is>
          <t>NYSE</t>
        </is>
      </c>
      <c r="I94" s="6" t="inlineStr">
        <is>
          <t>filled</t>
        </is>
      </c>
      <c r="J94" s="16" t="n">
        <v>5.287020836</v>
      </c>
      <c r="K94" s="17" t="n">
        <v>125.74</v>
      </c>
      <c r="L94" s="17">
        <f>IF(AND(ISNUMBER(J94),ISNUMBER(K94)),J94*K94,"")</f>
        <v/>
      </c>
      <c r="M94" s="17" t="n">
        <v>664.8</v>
      </c>
      <c r="N94" s="16" t="n"/>
      <c r="O94" s="6" t="inlineStr">
        <is>
          <t>4+/5 green</t>
        </is>
      </c>
      <c r="P94" s="15" t="inlineStr">
        <is>
          <t>5 of 5 green, time machine green, rank #6, 8.33% of the $7,980.85 free cash split 12 ways</t>
        </is>
      </c>
      <c r="Q94" s="12" t="n">
        <v>5</v>
      </c>
      <c r="R94" s="6" t="inlineStr">
        <is>
          <t>ok</t>
        </is>
      </c>
      <c r="S94" s="18" t="n">
        <v>0.615</v>
      </c>
      <c r="T94" s="12" t="n">
        <v>26</v>
      </c>
      <c r="U94" s="19" t="n">
        <v>0.0075</v>
      </c>
      <c r="V94" s="19" t="n">
        <v>-0.1395</v>
      </c>
      <c r="W94" s="12" t="n">
        <v>6</v>
      </c>
      <c r="X94" s="6" t="inlineStr">
        <is>
          <t>ok</t>
        </is>
      </c>
      <c r="Y94" s="19" t="n">
        <v>0.0003</v>
      </c>
      <c r="Z94" s="6" t="inlineStr">
        <is>
          <t>ok</t>
        </is>
      </c>
      <c r="AA94" s="12" t="n">
        <v>100</v>
      </c>
      <c r="AB94" s="15" t="n"/>
      <c r="AC94" s="6" t="inlineStr">
        <is>
          <t>ok</t>
        </is>
      </c>
      <c r="AD94" s="6" t="inlineStr">
        <is>
          <t>up</t>
        </is>
      </c>
      <c r="AE94" s="17" t="n">
        <v>126.9377</v>
      </c>
      <c r="AF94" s="17" t="n">
        <v>123.8434</v>
      </c>
      <c r="AG94" s="17" t="n">
        <v>130.032</v>
      </c>
      <c r="AH94" s="20" t="n">
        <v>46331</v>
      </c>
      <c r="AI94" s="18" t="n">
        <v>0.55</v>
      </c>
      <c r="AJ94" s="6" t="inlineStr">
        <is>
          <t>ok</t>
        </is>
      </c>
      <c r="AK94" s="12" t="n">
        <v>1</v>
      </c>
      <c r="AL94" s="15" t="inlineStr">
        <is>
          <t>Duke Energy Updates Emergency Planning Zones for Brunswick Nuclear Plant</t>
        </is>
      </c>
      <c r="AM94" s="17" t="n">
        <v>125.7</v>
      </c>
      <c r="AN94" s="19" t="n">
        <v>0.0167</v>
      </c>
      <c r="AO94" s="17" t="n">
        <v>99368.08</v>
      </c>
      <c r="AP94" s="17" t="n">
        <v>7980.85</v>
      </c>
      <c r="AQ94" s="19" t="n">
        <v>0.0833</v>
      </c>
      <c r="AR94" s="16" t="n"/>
      <c r="AS94" s="17" t="n"/>
      <c r="AT94" s="19" t="n"/>
      <c r="AU94" s="6" t="inlineStr">
        <is>
          <t>paper</t>
        </is>
      </c>
      <c r="AV94" s="6" t="inlineStr">
        <is>
          <t>584d2887-04f8-4615-a1fa-d901e34e2f86</t>
        </is>
      </c>
      <c r="AW94" s="6" t="inlineStr">
        <is>
          <t>tdagent-buy-DUK-1793287009163</t>
        </is>
      </c>
      <c r="AX94" s="13" t="n">
        <v>46324.63667824074</v>
      </c>
      <c r="AY94" s="13" t="n">
        <v>46324.63668981481</v>
      </c>
      <c r="AZ94" s="13" t="n">
        <v>46324.63631944444</v>
      </c>
      <c r="BA94" s="6" t="n"/>
    </row>
    <row r="95">
      <c r="A95" s="12" t="n">
        <v>94</v>
      </c>
      <c r="B95" s="13" t="n">
        <v>46324.67835648148</v>
      </c>
      <c r="C95" s="13" t="n">
        <v>46324.47002314815</v>
      </c>
      <c r="D95" s="13" t="n">
        <v>46324.63668981481</v>
      </c>
      <c r="E95" s="14" t="inlineStr">
        <is>
          <t>BUY</t>
        </is>
      </c>
      <c r="F95" s="6" t="inlineStr">
        <is>
          <t>KR</t>
        </is>
      </c>
      <c r="G95" s="15" t="inlineStr">
        <is>
          <t>The Kroger Co.</t>
        </is>
      </c>
      <c r="H95" s="6" t="inlineStr">
        <is>
          <t>NYSE</t>
        </is>
      </c>
      <c r="I95" s="6" t="inlineStr">
        <is>
          <t>filled</t>
        </is>
      </c>
      <c r="J95" s="16" t="n">
        <v>10.152565668</v>
      </c>
      <c r="K95" s="17" t="n">
        <v>65.48</v>
      </c>
      <c r="L95" s="17">
        <f>IF(AND(ISNUMBER(J95),ISNUMBER(K95)),J95*K95,"")</f>
        <v/>
      </c>
      <c r="M95" s="17" t="n">
        <v>664.8</v>
      </c>
      <c r="N95" s="16" t="n"/>
      <c r="O95" s="6" t="inlineStr">
        <is>
          <t>4+/5 green</t>
        </is>
      </c>
      <c r="P95" s="15" t="inlineStr">
        <is>
          <t>5 of 5 green, time machine green, rank #7, 8.33% of the $7,980.85 free cash split 12 ways</t>
        </is>
      </c>
      <c r="Q95" s="12" t="n">
        <v>5</v>
      </c>
      <c r="R95" s="6" t="inlineStr">
        <is>
          <t>ok</t>
        </is>
      </c>
      <c r="S95" s="18" t="n">
        <v>0.615</v>
      </c>
      <c r="T95" s="12" t="n">
        <v>39</v>
      </c>
      <c r="U95" s="19" t="n">
        <v>0.0137</v>
      </c>
      <c r="V95" s="19" t="n">
        <v>-0.1395</v>
      </c>
      <c r="W95" s="12" t="n">
        <v>7</v>
      </c>
      <c r="X95" s="6" t="inlineStr">
        <is>
          <t>ok</t>
        </is>
      </c>
      <c r="Y95" s="19" t="n">
        <v>0.0018</v>
      </c>
      <c r="Z95" s="6" t="inlineStr">
        <is>
          <t>ok</t>
        </is>
      </c>
      <c r="AA95" s="12" t="n">
        <v>100</v>
      </c>
      <c r="AB95" s="15" t="n"/>
      <c r="AC95" s="6" t="inlineStr">
        <is>
          <t>ok</t>
        </is>
      </c>
      <c r="AD95" s="6" t="inlineStr">
        <is>
          <t>up</t>
        </is>
      </c>
      <c r="AE95" s="17" t="n">
        <v>66.5149</v>
      </c>
      <c r="AF95" s="17" t="n">
        <v>63.9026</v>
      </c>
      <c r="AG95" s="17" t="n">
        <v>69.12730000000001</v>
      </c>
      <c r="AH95" s="20" t="n">
        <v>46331</v>
      </c>
      <c r="AI95" s="18" t="n">
        <v>0.55</v>
      </c>
      <c r="AJ95" s="6" t="inlineStr">
        <is>
          <t>ok</t>
        </is>
      </c>
      <c r="AK95" s="12" t="n">
        <v>4</v>
      </c>
      <c r="AL95" s="15" t="inlineStr">
        <is>
          <t>Kroger Announces High Critical Ratings for Exclusive Wine Portfolio</t>
        </is>
      </c>
      <c r="AM95" s="17" t="n">
        <v>65.47</v>
      </c>
      <c r="AN95" s="19" t="n">
        <v>0.0069</v>
      </c>
      <c r="AO95" s="17" t="n">
        <v>99368.08</v>
      </c>
      <c r="AP95" s="17" t="n">
        <v>7980.85</v>
      </c>
      <c r="AQ95" s="19" t="n">
        <v>0.0833</v>
      </c>
      <c r="AR95" s="16" t="n"/>
      <c r="AS95" s="17" t="n"/>
      <c r="AT95" s="19" t="n"/>
      <c r="AU95" s="6" t="inlineStr">
        <is>
          <t>paper</t>
        </is>
      </c>
      <c r="AV95" s="6" t="inlineStr">
        <is>
          <t>aeb6105c-3950-4bf5-801f-10b147dce0b5</t>
        </is>
      </c>
      <c r="AW95" s="6" t="inlineStr">
        <is>
          <t>tdagent-buy-KR-1793287009428</t>
        </is>
      </c>
      <c r="AX95" s="13" t="n">
        <v>46324.63667824074</v>
      </c>
      <c r="AY95" s="13" t="n">
        <v>46324.63668981481</v>
      </c>
      <c r="AZ95" s="13" t="n">
        <v>46324.63631944444</v>
      </c>
      <c r="BA95" s="6" t="n"/>
    </row>
    <row r="96">
      <c r="A96" s="12" t="n">
        <v>95</v>
      </c>
      <c r="B96" s="13" t="n">
        <v>46324.67835648148</v>
      </c>
      <c r="C96" s="13" t="n">
        <v>46324.47002314815</v>
      </c>
      <c r="D96" s="13" t="n">
        <v>46324.63668981481</v>
      </c>
      <c r="E96" s="14" t="inlineStr">
        <is>
          <t>BUY</t>
        </is>
      </c>
      <c r="F96" s="6" t="inlineStr">
        <is>
          <t>SHEL</t>
        </is>
      </c>
      <c r="G96" s="15" t="inlineStr">
        <is>
          <t>Shell plc American Depositary Shares (Each represents two Ordinary shares)</t>
        </is>
      </c>
      <c r="H96" s="6" t="inlineStr">
        <is>
          <t>NYSE</t>
        </is>
      </c>
      <c r="I96" s="6" t="inlineStr">
        <is>
          <t>filled</t>
        </is>
      </c>
      <c r="J96" s="16" t="n">
        <v>6.184668341</v>
      </c>
      <c r="K96" s="17" t="n">
        <v>107.49</v>
      </c>
      <c r="L96" s="17">
        <f>IF(AND(ISNUMBER(J96),ISNUMBER(K96)),J96*K96,"")</f>
        <v/>
      </c>
      <c r="M96" s="17" t="n">
        <v>664.8</v>
      </c>
      <c r="N96" s="16" t="n"/>
      <c r="O96" s="6" t="inlineStr">
        <is>
          <t>4+/5 green</t>
        </is>
      </c>
      <c r="P96" s="15" t="inlineStr">
        <is>
          <t>4 of 5 green, time machine green, rank #8, 8.33% of the $7,980.85 free cash split 12 ways</t>
        </is>
      </c>
      <c r="Q96" s="12" t="n">
        <v>4</v>
      </c>
      <c r="R96" s="6" t="inlineStr">
        <is>
          <t>ok</t>
        </is>
      </c>
      <c r="S96" s="18" t="n">
        <v>0.667</v>
      </c>
      <c r="T96" s="12" t="n">
        <v>90</v>
      </c>
      <c r="U96" s="19" t="n">
        <v>0.0127</v>
      </c>
      <c r="V96" s="19" t="n">
        <v>-0.1395</v>
      </c>
      <c r="W96" s="12" t="n">
        <v>8</v>
      </c>
      <c r="X96" s="6" t="inlineStr">
        <is>
          <t>ok</t>
        </is>
      </c>
      <c r="Y96" s="19" t="n">
        <v>0</v>
      </c>
      <c r="Z96" s="6" t="inlineStr">
        <is>
          <t>ok</t>
        </is>
      </c>
      <c r="AA96" s="12" t="n">
        <v>100</v>
      </c>
      <c r="AB96" s="15" t="n"/>
      <c r="AC96" s="6" t="inlineStr">
        <is>
          <t>ok</t>
        </is>
      </c>
      <c r="AD96" s="6" t="inlineStr">
        <is>
          <t>up</t>
        </is>
      </c>
      <c r="AE96" s="17" t="n">
        <v>108.6361</v>
      </c>
      <c r="AF96" s="17" t="n">
        <v>105.5708</v>
      </c>
      <c r="AG96" s="17" t="n">
        <v>111.7015</v>
      </c>
      <c r="AH96" s="20" t="n">
        <v>46331</v>
      </c>
      <c r="AI96" s="18" t="n">
        <v>0.58</v>
      </c>
      <c r="AJ96" s="6" t="inlineStr">
        <is>
          <t>watch</t>
        </is>
      </c>
      <c r="AK96" s="12" t="n">
        <v>10</v>
      </c>
      <c r="AL96" s="15" t="inlineStr">
        <is>
          <t>Shell Q3 Earnings Reach Highest Level Since 2022 Amid Middle-East Turmoil</t>
        </is>
      </c>
      <c r="AM96" s="17" t="n">
        <v>107.405</v>
      </c>
      <c r="AN96" s="19" t="n">
        <v>0.0219</v>
      </c>
      <c r="AO96" s="17" t="n">
        <v>99368.08</v>
      </c>
      <c r="AP96" s="17" t="n">
        <v>7980.85</v>
      </c>
      <c r="AQ96" s="19" t="n">
        <v>0.0833</v>
      </c>
      <c r="AR96" s="16" t="n"/>
      <c r="AS96" s="17" t="n"/>
      <c r="AT96" s="19" t="n"/>
      <c r="AU96" s="6" t="inlineStr">
        <is>
          <t>paper</t>
        </is>
      </c>
      <c r="AV96" s="6" t="inlineStr">
        <is>
          <t>aa029f26-64e4-4ab1-b405-70dc8dc432cc</t>
        </is>
      </c>
      <c r="AW96" s="6" t="inlineStr">
        <is>
          <t>tdagent-buy-SHEL-1793287009677</t>
        </is>
      </c>
      <c r="AX96" s="13" t="n">
        <v>46324.63667824074</v>
      </c>
      <c r="AY96" s="13" t="n">
        <v>46324.63668981481</v>
      </c>
      <c r="AZ96" s="13" t="n">
        <v>46324.63631944444</v>
      </c>
      <c r="BA96" s="6" t="n"/>
    </row>
    <row r="97">
      <c r="A97" s="12" t="n">
        <v>96</v>
      </c>
      <c r="B97" s="13" t="n">
        <v>46324.67835648148</v>
      </c>
      <c r="C97" s="13" t="n">
        <v>46324.47002314815</v>
      </c>
      <c r="D97" s="13" t="n">
        <v>46324.63668981481</v>
      </c>
      <c r="E97" s="14" t="inlineStr">
        <is>
          <t>BUY</t>
        </is>
      </c>
      <c r="F97" s="6" t="inlineStr">
        <is>
          <t>ILMN</t>
        </is>
      </c>
      <c r="G97" s="15" t="inlineStr">
        <is>
          <t>Illumina, Inc. Common Stock</t>
        </is>
      </c>
      <c r="H97" s="6" t="inlineStr">
        <is>
          <t>NASDAQ</t>
        </is>
      </c>
      <c r="I97" s="6" t="inlineStr">
        <is>
          <t>filled</t>
        </is>
      </c>
      <c r="J97" s="16" t="n">
        <v>2.303818963</v>
      </c>
      <c r="K97" s="17" t="n">
        <v>288.56</v>
      </c>
      <c r="L97" s="17">
        <f>IF(AND(ISNUMBER(J97),ISNUMBER(K97)),J97*K97,"")</f>
        <v/>
      </c>
      <c r="M97" s="17" t="n">
        <v>664.8</v>
      </c>
      <c r="N97" s="16" t="n"/>
      <c r="O97" s="6" t="inlineStr">
        <is>
          <t>4+/5 green</t>
        </is>
      </c>
      <c r="P97" s="15" t="inlineStr">
        <is>
          <t>5 of 5 green, time machine green, rank #10, 8.33% of the $7,980.85 free cash split 12 ways</t>
        </is>
      </c>
      <c r="Q97" s="12" t="n">
        <v>5</v>
      </c>
      <c r="R97" s="6" t="inlineStr">
        <is>
          <t>ok</t>
        </is>
      </c>
      <c r="S97" s="18" t="n">
        <v>0.595</v>
      </c>
      <c r="T97" s="12" t="n">
        <v>126</v>
      </c>
      <c r="U97" s="19" t="n">
        <v>0.0155</v>
      </c>
      <c r="V97" s="19" t="n">
        <v>-0.1395</v>
      </c>
      <c r="W97" s="12" t="n">
        <v>10</v>
      </c>
      <c r="X97" s="6" t="inlineStr">
        <is>
          <t>ok</t>
        </is>
      </c>
      <c r="Y97" s="19" t="n">
        <v>0</v>
      </c>
      <c r="Z97" s="6" t="inlineStr">
        <is>
          <t>ok</t>
        </is>
      </c>
      <c r="AA97" s="12" t="n">
        <v>100</v>
      </c>
      <c r="AB97" s="15" t="n"/>
      <c r="AC97" s="6" t="inlineStr">
        <is>
          <t>ok</t>
        </is>
      </c>
      <c r="AD97" s="6" t="inlineStr">
        <is>
          <t>up</t>
        </is>
      </c>
      <c r="AE97" s="17" t="n">
        <v>296.6903</v>
      </c>
      <c r="AF97" s="17" t="n">
        <v>275.5645</v>
      </c>
      <c r="AG97" s="17" t="n">
        <v>317.8161</v>
      </c>
      <c r="AH97" s="20" t="n">
        <v>46331</v>
      </c>
      <c r="AI97" s="18" t="n">
        <v>0.54</v>
      </c>
      <c r="AJ97" s="6" t="inlineStr">
        <is>
          <t>ok</t>
        </is>
      </c>
      <c r="AK97" s="12" t="n">
        <v>1</v>
      </c>
      <c r="AL97" s="15" t="inlineStr">
        <is>
          <t>Amazon, Eli Lilly On Deck Thursday As AWS Growth, Drug Demand Face Test</t>
        </is>
      </c>
      <c r="AM97" s="17" t="n">
        <v>288.24</v>
      </c>
      <c r="AN97" s="19" t="n">
        <v>-0.002</v>
      </c>
      <c r="AO97" s="17" t="n">
        <v>99368.08</v>
      </c>
      <c r="AP97" s="17" t="n">
        <v>7980.85</v>
      </c>
      <c r="AQ97" s="19" t="n">
        <v>0.0833</v>
      </c>
      <c r="AR97" s="16" t="n"/>
      <c r="AS97" s="17" t="n"/>
      <c r="AT97" s="19" t="n"/>
      <c r="AU97" s="6" t="inlineStr">
        <is>
          <t>paper</t>
        </is>
      </c>
      <c r="AV97" s="6" t="inlineStr">
        <is>
          <t>31d91322-0a25-4696-abe1-71b5cad5972d</t>
        </is>
      </c>
      <c r="AW97" s="6" t="inlineStr">
        <is>
          <t>tdagent-buy-ILMN-1793287010075</t>
        </is>
      </c>
      <c r="AX97" s="13" t="n">
        <v>46324.63668981481</v>
      </c>
      <c r="AY97" s="13" t="n">
        <v>46324.63668981481</v>
      </c>
      <c r="AZ97" s="13" t="n">
        <v>46324.63631944444</v>
      </c>
      <c r="BA97" s="6" t="n"/>
    </row>
    <row r="98">
      <c r="A98" s="12" t="n">
        <v>97</v>
      </c>
      <c r="B98" s="13" t="n">
        <v>46324.67835648148</v>
      </c>
      <c r="C98" s="13" t="n">
        <v>46324.47002314815</v>
      </c>
      <c r="D98" s="13" t="n">
        <v>46324.63668981481</v>
      </c>
      <c r="E98" s="14" t="inlineStr">
        <is>
          <t>BUY</t>
        </is>
      </c>
      <c r="F98" s="6" t="inlineStr">
        <is>
          <t>ACN</t>
        </is>
      </c>
      <c r="G98" s="15" t="inlineStr">
        <is>
          <t>Accenture PLC</t>
        </is>
      </c>
      <c r="H98" s="6" t="inlineStr">
        <is>
          <t>NYSE</t>
        </is>
      </c>
      <c r="I98" s="6" t="inlineStr">
        <is>
          <t>filled</t>
        </is>
      </c>
      <c r="J98" s="16" t="n">
        <v>2.726336942</v>
      </c>
      <c r="K98" s="17" t="n">
        <v>243.84</v>
      </c>
      <c r="L98" s="17">
        <f>IF(AND(ISNUMBER(J98),ISNUMBER(K98)),J98*K98,"")</f>
        <v/>
      </c>
      <c r="M98" s="17" t="n">
        <v>664.8</v>
      </c>
      <c r="N98" s="16" t="n"/>
      <c r="O98" s="6" t="inlineStr">
        <is>
          <t>4+/5 green</t>
        </is>
      </c>
      <c r="P98" s="15" t="inlineStr">
        <is>
          <t>5 of 5 green, time machine green, rank #12, 8.33% of the $7,980.85 free cash split 12 ways</t>
        </is>
      </c>
      <c r="Q98" s="12" t="n">
        <v>5</v>
      </c>
      <c r="R98" s="6" t="inlineStr">
        <is>
          <t>ok</t>
        </is>
      </c>
      <c r="S98" s="18" t="n">
        <v>0.551</v>
      </c>
      <c r="T98" s="12" t="n">
        <v>49</v>
      </c>
      <c r="U98" s="19" t="n">
        <v>0.0072</v>
      </c>
      <c r="V98" s="19" t="n">
        <v>-0.1395</v>
      </c>
      <c r="W98" s="12" t="n">
        <v>12</v>
      </c>
      <c r="X98" s="6" t="inlineStr">
        <is>
          <t>ok</t>
        </is>
      </c>
      <c r="Y98" s="19" t="n">
        <v>0.0008</v>
      </c>
      <c r="Z98" s="6" t="inlineStr">
        <is>
          <t>ok</t>
        </is>
      </c>
      <c r="AA98" s="12" t="n">
        <v>100</v>
      </c>
      <c r="AB98" s="15" t="n"/>
      <c r="AC98" s="6" t="inlineStr">
        <is>
          <t>ok</t>
        </is>
      </c>
      <c r="AD98" s="6" t="inlineStr">
        <is>
          <t>up</t>
        </is>
      </c>
      <c r="AE98" s="17" t="n">
        <v>250.9857</v>
      </c>
      <c r="AF98" s="17" t="n">
        <v>232.234</v>
      </c>
      <c r="AG98" s="17" t="n">
        <v>269.7373</v>
      </c>
      <c r="AH98" s="20" t="n">
        <v>46331</v>
      </c>
      <c r="AI98" s="18" t="n">
        <v>0.57</v>
      </c>
      <c r="AJ98" s="6" t="inlineStr">
        <is>
          <t>ok</t>
        </is>
      </c>
      <c r="AK98" s="12" t="n">
        <v>5</v>
      </c>
      <c r="AL98" s="15" t="inlineStr">
        <is>
          <t>Accenture Recognized in 2026 Guidewire PartnerConnect Excellence Awards</t>
        </is>
      </c>
      <c r="AM98" s="17" t="n">
        <v>243.485</v>
      </c>
      <c r="AN98" s="19" t="n">
        <v>-0.0015</v>
      </c>
      <c r="AO98" s="17" t="n">
        <v>99368.08</v>
      </c>
      <c r="AP98" s="17" t="n">
        <v>7980.85</v>
      </c>
      <c r="AQ98" s="19" t="n">
        <v>0.0833</v>
      </c>
      <c r="AR98" s="16" t="n"/>
      <c r="AS98" s="17" t="n"/>
      <c r="AT98" s="19" t="n"/>
      <c r="AU98" s="6" t="inlineStr">
        <is>
          <t>paper</t>
        </is>
      </c>
      <c r="AV98" s="6" t="inlineStr">
        <is>
          <t>10044009-32c9-4f22-a20f-9acdfdd2b100</t>
        </is>
      </c>
      <c r="AW98" s="6" t="inlineStr">
        <is>
          <t>tdagent-buy-ACN-1793287010453</t>
        </is>
      </c>
      <c r="AX98" s="13" t="n">
        <v>46324.63668981481</v>
      </c>
      <c r="AY98" s="13" t="n">
        <v>46324.63668981481</v>
      </c>
      <c r="AZ98" s="13" t="n">
        <v>46324.63631944444</v>
      </c>
      <c r="BA98" s="6" t="n"/>
    </row>
    <row r="99">
      <c r="A99" s="12" t="n">
        <v>98</v>
      </c>
      <c r="B99" s="13" t="n">
        <v>46324.67839120371</v>
      </c>
      <c r="C99" s="13" t="n">
        <v>46324.47005787037</v>
      </c>
      <c r="D99" s="13" t="n">
        <v>46324.63672453703</v>
      </c>
      <c r="E99" s="14" t="inlineStr">
        <is>
          <t>BUY</t>
        </is>
      </c>
      <c r="F99" s="6" t="inlineStr">
        <is>
          <t>EQNR</t>
        </is>
      </c>
      <c r="G99" s="15" t="inlineStr">
        <is>
          <t>Equinor ASA American Depositary Shares (Each Representing One Ordinary Share, nominal value NOK 2.50 per share)</t>
        </is>
      </c>
      <c r="H99" s="6" t="inlineStr">
        <is>
          <t>NYSE</t>
        </is>
      </c>
      <c r="I99" s="6" t="inlineStr">
        <is>
          <t>filled</t>
        </is>
      </c>
      <c r="J99" s="16" t="n">
        <v>14.117434699</v>
      </c>
      <c r="K99" s="17" t="n">
        <v>47.09</v>
      </c>
      <c r="L99" s="17">
        <f>IF(AND(ISNUMBER(J99),ISNUMBER(K99)),J99*K99,"")</f>
        <v/>
      </c>
      <c r="M99" s="17" t="n">
        <v>664.8</v>
      </c>
      <c r="N99" s="16" t="n"/>
      <c r="O99" s="6" t="inlineStr">
        <is>
          <t>4+/5 green</t>
        </is>
      </c>
      <c r="P99" s="15" t="inlineStr">
        <is>
          <t>4 of 5 green, time machine green, rank #13, 8.33% of the $7,980.85 free cash split 12 ways</t>
        </is>
      </c>
      <c r="Q99" s="12" t="n">
        <v>4</v>
      </c>
      <c r="R99" s="6" t="inlineStr">
        <is>
          <t>ok</t>
        </is>
      </c>
      <c r="S99" s="18" t="n">
        <v>0.667</v>
      </c>
      <c r="T99" s="12" t="n">
        <v>78</v>
      </c>
      <c r="U99" s="19" t="n">
        <v>0.0138</v>
      </c>
      <c r="V99" s="19" t="n">
        <v>-0.1395</v>
      </c>
      <c r="W99" s="12" t="n">
        <v>13</v>
      </c>
      <c r="X99" s="6" t="inlineStr">
        <is>
          <t>ok</t>
        </is>
      </c>
      <c r="Y99" s="19" t="n">
        <v>0.0001</v>
      </c>
      <c r="Z99" s="6" t="inlineStr">
        <is>
          <t>ok</t>
        </is>
      </c>
      <c r="AA99" s="12" t="n">
        <v>100</v>
      </c>
      <c r="AB99" s="15" t="n"/>
      <c r="AC99" s="6" t="inlineStr">
        <is>
          <t>ok</t>
        </is>
      </c>
      <c r="AD99" s="6" t="inlineStr">
        <is>
          <t>up</t>
        </is>
      </c>
      <c r="AE99" s="17" t="n">
        <v>47.9373</v>
      </c>
      <c r="AF99" s="17" t="n">
        <v>45.7066</v>
      </c>
      <c r="AG99" s="17" t="n">
        <v>50.1679</v>
      </c>
      <c r="AH99" s="20" t="n">
        <v>46331</v>
      </c>
      <c r="AI99" s="18" t="n">
        <v>0.55</v>
      </c>
      <c r="AJ99" s="6" t="inlineStr">
        <is>
          <t>watch</t>
        </is>
      </c>
      <c r="AK99" s="12" t="n">
        <v>9</v>
      </c>
      <c r="AL99" s="15" t="inlineStr">
        <is>
          <t>Equinor Q3 2026 Earnings Call Transcript</t>
        </is>
      </c>
      <c r="AM99" s="17" t="n">
        <v>47.04</v>
      </c>
      <c r="AN99" s="19" t="n">
        <v>-0.0129</v>
      </c>
      <c r="AO99" s="17" t="n">
        <v>99368.08</v>
      </c>
      <c r="AP99" s="17" t="n">
        <v>7980.85</v>
      </c>
      <c r="AQ99" s="19" t="n">
        <v>0.0833</v>
      </c>
      <c r="AR99" s="16" t="n"/>
      <c r="AS99" s="17" t="n"/>
      <c r="AT99" s="19" t="n"/>
      <c r="AU99" s="6" t="inlineStr">
        <is>
          <t>paper</t>
        </is>
      </c>
      <c r="AV99" s="6" t="inlineStr">
        <is>
          <t>e5e7881d-f385-4d1d-8fa7-1603b6afc37d</t>
        </is>
      </c>
      <c r="AW99" s="6" t="inlineStr">
        <is>
          <t>tdagent-buy-EQNR-1793287010714</t>
        </is>
      </c>
      <c r="AX99" s="13" t="n">
        <v>46324.63668981481</v>
      </c>
      <c r="AY99" s="13" t="n">
        <v>46324.63672453703</v>
      </c>
      <c r="AZ99" s="13" t="n">
        <v>46324.63631944444</v>
      </c>
      <c r="BA99" s="6" t="n"/>
    </row>
    <row r="100">
      <c r="A100" s="12" t="n">
        <v>99</v>
      </c>
      <c r="B100" s="13" t="n">
        <v>46324.67836805555</v>
      </c>
      <c r="C100" s="13" t="n">
        <v>46324.47003472222</v>
      </c>
      <c r="D100" s="13" t="n">
        <v>46324.63670138889</v>
      </c>
      <c r="E100" s="14" t="inlineStr">
        <is>
          <t>BUY</t>
        </is>
      </c>
      <c r="F100" s="6" t="inlineStr">
        <is>
          <t>LIN</t>
        </is>
      </c>
      <c r="G100" s="15" t="inlineStr">
        <is>
          <t>Linde plc Ordinary Shares</t>
        </is>
      </c>
      <c r="H100" s="6" t="inlineStr">
        <is>
          <t>NASDAQ</t>
        </is>
      </c>
      <c r="I100" s="6" t="inlineStr">
        <is>
          <t>filled</t>
        </is>
      </c>
      <c r="J100" s="16" t="n">
        <v>1.325708929</v>
      </c>
      <c r="K100" s="17" t="n">
        <v>501.46</v>
      </c>
      <c r="L100" s="17">
        <f>IF(AND(ISNUMBER(J100),ISNUMBER(K100)),J100*K100,"")</f>
        <v/>
      </c>
      <c r="M100" s="17" t="n">
        <v>664.8</v>
      </c>
      <c r="N100" s="16" t="n"/>
      <c r="O100" s="6" t="inlineStr">
        <is>
          <t>4+/5 green</t>
        </is>
      </c>
      <c r="P100" s="15" t="inlineStr">
        <is>
          <t>4 of 5 green, time machine green, rank #14, 8.33% of the $7,980.85 free cash split 12 ways</t>
        </is>
      </c>
      <c r="Q100" s="12" t="n">
        <v>4</v>
      </c>
      <c r="R100" s="6" t="inlineStr">
        <is>
          <t>ok</t>
        </is>
      </c>
      <c r="S100" s="18" t="n">
        <v>0.635</v>
      </c>
      <c r="T100" s="12" t="n">
        <v>52</v>
      </c>
      <c r="U100" s="19" t="n">
        <v>0.0104</v>
      </c>
      <c r="V100" s="19" t="n">
        <v>-0.1395</v>
      </c>
      <c r="W100" s="12" t="n">
        <v>14</v>
      </c>
      <c r="X100" s="6" t="inlineStr">
        <is>
          <t>ok</t>
        </is>
      </c>
      <c r="Y100" s="19" t="n">
        <v>0.0031</v>
      </c>
      <c r="Z100" s="6" t="inlineStr">
        <is>
          <t>ok</t>
        </is>
      </c>
      <c r="AA100" s="12" t="n">
        <v>100</v>
      </c>
      <c r="AB100" s="15" t="n"/>
      <c r="AC100" s="6" t="inlineStr">
        <is>
          <t>ok</t>
        </is>
      </c>
      <c r="AD100" s="6" t="inlineStr">
        <is>
          <t>up</t>
        </is>
      </c>
      <c r="AE100" s="17" t="n">
        <v>505.5059</v>
      </c>
      <c r="AF100" s="17" t="n">
        <v>495.3912</v>
      </c>
      <c r="AG100" s="17" t="n">
        <v>515.6206</v>
      </c>
      <c r="AH100" s="20" t="n">
        <v>46331</v>
      </c>
      <c r="AI100" s="18" t="n">
        <v>0.5600000000000001</v>
      </c>
      <c r="AJ100" s="6" t="inlineStr">
        <is>
          <t>watch</t>
        </is>
      </c>
      <c r="AK100" s="12" t="n">
        <v>7</v>
      </c>
      <c r="AL100" s="15" t="inlineStr">
        <is>
          <t>Linde Q3 2026 Earnings Call Transcript</t>
        </is>
      </c>
      <c r="AM100" s="17" t="n">
        <v>501.46</v>
      </c>
      <c r="AN100" s="19" t="n">
        <v>-0.013</v>
      </c>
      <c r="AO100" s="17" t="n">
        <v>99368.08</v>
      </c>
      <c r="AP100" s="17" t="n">
        <v>7980.85</v>
      </c>
      <c r="AQ100" s="19" t="n">
        <v>0.0833</v>
      </c>
      <c r="AR100" s="16" t="n"/>
      <c r="AS100" s="17" t="n"/>
      <c r="AT100" s="19" t="n"/>
      <c r="AU100" s="6" t="inlineStr">
        <is>
          <t>paper</t>
        </is>
      </c>
      <c r="AV100" s="6" t="inlineStr">
        <is>
          <t>6378bfbf-8394-4536-9bf4-aabfe70b3e4f</t>
        </is>
      </c>
      <c r="AW100" s="6" t="inlineStr">
        <is>
          <t>tdagent-buy-LIN-1793287010962</t>
        </is>
      </c>
      <c r="AX100" s="13" t="n">
        <v>46324.63668981481</v>
      </c>
      <c r="AY100" s="13" t="n">
        <v>46324.63670138889</v>
      </c>
      <c r="AZ100" s="13" t="n">
        <v>46324.63631944444</v>
      </c>
      <c r="BA100" s="6" t="n"/>
    </row>
    <row r="101">
      <c r="A101" s="12" t="n">
        <v>100</v>
      </c>
      <c r="B101" s="13" t="n">
        <v>46324.68523148148</v>
      </c>
      <c r="C101" s="13" t="n">
        <v>46324.47689814815</v>
      </c>
      <c r="D101" s="13" t="n">
        <v>46324.64356481482</v>
      </c>
      <c r="E101" s="21" t="inlineStr">
        <is>
          <t>SELL</t>
        </is>
      </c>
      <c r="F101" s="6" t="inlineStr">
        <is>
          <t>LLY</t>
        </is>
      </c>
      <c r="G101" s="15" t="inlineStr">
        <is>
          <t>LLY</t>
        </is>
      </c>
      <c r="H101" s="6" t="inlineStr">
        <is>
          <t>NYSE</t>
        </is>
      </c>
      <c r="I101" s="6" t="inlineStr">
        <is>
          <t>filled</t>
        </is>
      </c>
      <c r="J101" s="16" t="n">
        <v>6.035195373</v>
      </c>
      <c r="K101" s="17" t="n">
        <v>1370.33</v>
      </c>
      <c r="L101" s="17">
        <f>IF(AND(ISNUMBER(J101),ISNUMBER(K101)),J101*K101,"")</f>
        <v/>
      </c>
      <c r="M101" s="17" t="n"/>
      <c r="N101" s="16" t="n">
        <v>6.035195373</v>
      </c>
      <c r="O101" s="6" t="inlineStr">
        <is>
          <t>trailing stop</t>
        </is>
      </c>
      <c r="P101" s="15" t="inlineStr">
        <is>
          <t>High risk sell line (1%): highest $1,398.38, fell 2.0% to $1,371.12 (line $1,384.40), -0.9% from the buy price</t>
        </is>
      </c>
      <c r="Q101" s="12" t="n">
        <v>3</v>
      </c>
      <c r="R101" s="6" t="inlineStr">
        <is>
          <t>ok</t>
        </is>
      </c>
      <c r="S101" s="18" t="n">
        <v>0.574</v>
      </c>
      <c r="T101" s="12" t="n">
        <v>68</v>
      </c>
      <c r="U101" s="19" t="n">
        <v>0.0075</v>
      </c>
      <c r="V101" s="19" t="n">
        <v>0.2893</v>
      </c>
      <c r="W101" s="12" t="n"/>
      <c r="X101" s="6" t="inlineStr">
        <is>
          <t>ok</t>
        </is>
      </c>
      <c r="Y101" s="19" t="n">
        <v>0.0027</v>
      </c>
      <c r="Z101" s="6" t="inlineStr">
        <is>
          <t>ok</t>
        </is>
      </c>
      <c r="AA101" s="12" t="n">
        <v>100</v>
      </c>
      <c r="AB101" s="15" t="n"/>
      <c r="AC101" s="6" t="inlineStr">
        <is>
          <t>watch</t>
        </is>
      </c>
      <c r="AD101" s="6" t="inlineStr">
        <is>
          <t>flat</t>
        </is>
      </c>
      <c r="AE101" s="17" t="n">
        <v>1372.57</v>
      </c>
      <c r="AF101" s="17" t="n">
        <v>1314.0104</v>
      </c>
      <c r="AG101" s="17" t="n">
        <v>1431.1296</v>
      </c>
      <c r="AH101" s="20" t="n">
        <v>46331</v>
      </c>
      <c r="AI101" s="18" t="n">
        <v>0.5</v>
      </c>
      <c r="AJ101" s="6" t="inlineStr">
        <is>
          <t>alert</t>
        </is>
      </c>
      <c r="AK101" s="12" t="n">
        <v>10</v>
      </c>
      <c r="AL101" s="15" t="inlineStr">
        <is>
          <t>Eli Lilly Q3 2026 Earnings Call Transcript</t>
        </is>
      </c>
      <c r="AM101" s="17" t="n">
        <v>1372.57</v>
      </c>
      <c r="AN101" s="19" t="n">
        <v>0.0635</v>
      </c>
      <c r="AO101" s="17" t="n">
        <v>99412.24000000001</v>
      </c>
      <c r="AP101" s="17" t="n">
        <v>3.37</v>
      </c>
      <c r="AQ101" s="19" t="n">
        <v>0.0833</v>
      </c>
      <c r="AR101" s="16" t="n">
        <v>6.035195373</v>
      </c>
      <c r="AS101" s="17" t="n">
        <v>1382.881495</v>
      </c>
      <c r="AT101" s="19" t="n">
        <v>-0.008500000000000001</v>
      </c>
      <c r="AU101" s="6" t="inlineStr">
        <is>
          <t>paper</t>
        </is>
      </c>
      <c r="AV101" s="6" t="inlineStr">
        <is>
          <t>5d4ca2e7-bc86-484f-9f55-e93b264f00d5</t>
        </is>
      </c>
      <c r="AW101" s="6" t="inlineStr">
        <is>
          <t>tdagent-sell-LLY-1793287603579</t>
        </is>
      </c>
      <c r="AX101" s="13" t="n">
        <v>46324.64355324074</v>
      </c>
      <c r="AY101" s="13" t="n">
        <v>46324.64356481482</v>
      </c>
      <c r="AZ101" s="13" t="n">
        <v>46324.64244212963</v>
      </c>
      <c r="BA101" s="6" t="n"/>
    </row>
    <row r="102">
      <c r="A102" s="12" t="n">
        <v>101</v>
      </c>
      <c r="B102" s="13" t="n">
        <v>46324.68523148148</v>
      </c>
      <c r="C102" s="13" t="n">
        <v>46324.47689814815</v>
      </c>
      <c r="D102" s="13" t="n">
        <v>46324.64356481482</v>
      </c>
      <c r="E102" s="21" t="inlineStr">
        <is>
          <t>SELL</t>
        </is>
      </c>
      <c r="F102" s="6" t="inlineStr">
        <is>
          <t>WTW</t>
        </is>
      </c>
      <c r="G102" s="15" t="inlineStr">
        <is>
          <t>WTW</t>
        </is>
      </c>
      <c r="H102" s="6" t="inlineStr">
        <is>
          <t>NASDAQ</t>
        </is>
      </c>
      <c r="I102" s="6" t="inlineStr">
        <is>
          <t>filled</t>
        </is>
      </c>
      <c r="J102" s="16" t="n">
        <v>26.078334421</v>
      </c>
      <c r="K102" s="17" t="n">
        <v>313.76</v>
      </c>
      <c r="L102" s="17">
        <f>IF(AND(ISNUMBER(J102),ISNUMBER(K102)),J102*K102,"")</f>
        <v/>
      </c>
      <c r="M102" s="17" t="n"/>
      <c r="N102" s="16" t="n">
        <v>26.078334421</v>
      </c>
      <c r="O102" s="6" t="inlineStr">
        <is>
          <t>trailing stop</t>
        </is>
      </c>
      <c r="P102" s="15" t="inlineStr">
        <is>
          <t>High risk sell line (1%): highest $325.01, fell 3.4% to $314.04 (line $321.76), -1.9% from the buy price</t>
        </is>
      </c>
      <c r="Q102" s="12" t="n">
        <v>4</v>
      </c>
      <c r="R102" s="6" t="inlineStr">
        <is>
          <t>ok</t>
        </is>
      </c>
      <c r="S102" s="18" t="n">
        <v>0.621</v>
      </c>
      <c r="T102" s="12" t="n">
        <v>29</v>
      </c>
      <c r="U102" s="19" t="n">
        <v>0.0212</v>
      </c>
      <c r="V102" s="19" t="n">
        <v>0.2893</v>
      </c>
      <c r="W102" s="12" t="n"/>
      <c r="X102" s="6" t="inlineStr">
        <is>
          <t>ok</t>
        </is>
      </c>
      <c r="Y102" s="19" t="n">
        <v>0.0001</v>
      </c>
      <c r="Z102" s="6" t="inlineStr">
        <is>
          <t>ok</t>
        </is>
      </c>
      <c r="AA102" s="12" t="n">
        <v>100</v>
      </c>
      <c r="AB102" s="15" t="n"/>
      <c r="AC102" s="6" t="inlineStr">
        <is>
          <t>ok</t>
        </is>
      </c>
      <c r="AD102" s="6" t="inlineStr">
        <is>
          <t>up</t>
        </is>
      </c>
      <c r="AE102" s="17" t="n">
        <v>318.7003</v>
      </c>
      <c r="AF102" s="17" t="n">
        <v>307.3995</v>
      </c>
      <c r="AG102" s="17" t="n">
        <v>330.0012</v>
      </c>
      <c r="AH102" s="20" t="n">
        <v>46331</v>
      </c>
      <c r="AI102" s="18" t="n">
        <v>0.53</v>
      </c>
      <c r="AJ102" s="6" t="inlineStr">
        <is>
          <t>watch</t>
        </is>
      </c>
      <c r="AK102" s="12" t="n">
        <v>5</v>
      </c>
      <c r="AL102" s="15" t="inlineStr">
        <is>
          <t>Willis Towers Watson Q3 2026 Earnings Call Transcript</t>
        </is>
      </c>
      <c r="AM102" s="17" t="n">
        <v>314.18</v>
      </c>
      <c r="AN102" s="19" t="n">
        <v>-0.0232</v>
      </c>
      <c r="AO102" s="17" t="n">
        <v>99412.24000000001</v>
      </c>
      <c r="AP102" s="17" t="n">
        <v>3.37</v>
      </c>
      <c r="AQ102" s="19" t="n">
        <v>0.0833</v>
      </c>
      <c r="AR102" s="16" t="n">
        <v>26.078334421</v>
      </c>
      <c r="AS102" s="17" t="n">
        <v>320.034243</v>
      </c>
      <c r="AT102" s="19" t="n">
        <v>-0.0187</v>
      </c>
      <c r="AU102" s="6" t="inlineStr">
        <is>
          <t>paper</t>
        </is>
      </c>
      <c r="AV102" s="6" t="inlineStr">
        <is>
          <t>7f4b08a7-ccda-4caa-ad4f-79824ad160e8</t>
        </is>
      </c>
      <c r="AW102" s="6" t="inlineStr">
        <is>
          <t>tdagent-sell-WTW-1793287604105</t>
        </is>
      </c>
      <c r="AX102" s="13" t="n">
        <v>46324.64356481482</v>
      </c>
      <c r="AY102" s="13" t="n">
        <v>46324.64356481482</v>
      </c>
      <c r="AZ102" s="13" t="n">
        <v>46324.64244212963</v>
      </c>
      <c r="BA102" s="6" t="n"/>
    </row>
    <row r="103">
      <c r="A103" s="12" t="n">
        <v>102</v>
      </c>
      <c r="B103" s="13" t="n">
        <v>46324.68998842593</v>
      </c>
      <c r="C103" s="13" t="n">
        <v>46324.48165509259</v>
      </c>
      <c r="D103" s="13" t="n">
        <v>46324.64832175926</v>
      </c>
      <c r="E103" s="14" t="inlineStr">
        <is>
          <t>BUY</t>
        </is>
      </c>
      <c r="F103" s="6" t="inlineStr">
        <is>
          <t>SO</t>
        </is>
      </c>
      <c r="G103" s="15" t="inlineStr">
        <is>
          <t>The Southern Company</t>
        </is>
      </c>
      <c r="H103" s="6" t="inlineStr">
        <is>
          <t>NYSE</t>
        </is>
      </c>
      <c r="I103" s="6" t="inlineStr">
        <is>
          <t>filled</t>
        </is>
      </c>
      <c r="J103" s="16" t="n">
        <v>14.744111003</v>
      </c>
      <c r="K103" s="17" t="n">
        <v>92.97</v>
      </c>
      <c r="L103" s="17">
        <f>IF(AND(ISNUMBER(J103),ISNUMBER(K103)),J103*K103,"")</f>
        <v/>
      </c>
      <c r="M103" s="17" t="n">
        <v>1370.77</v>
      </c>
      <c r="N103" s="16" t="n"/>
      <c r="O103" s="6" t="inlineStr">
        <is>
          <t>4+/5 green</t>
        </is>
      </c>
      <c r="P103" s="15" t="inlineStr">
        <is>
          <t>5 of 5 green, time machine green, rank #4, 8.33% of the $16,455.92 free cash split 12 ways</t>
        </is>
      </c>
      <c r="Q103" s="12" t="n">
        <v>5</v>
      </c>
      <c r="R103" s="6" t="inlineStr">
        <is>
          <t>ok</t>
        </is>
      </c>
      <c r="S103" s="18" t="n">
        <v>0.55</v>
      </c>
      <c r="T103" s="12" t="n">
        <v>20</v>
      </c>
      <c r="U103" s="19" t="n">
        <v>0.0009</v>
      </c>
      <c r="V103" s="19" t="n">
        <v>0.2893</v>
      </c>
      <c r="W103" s="12" t="n">
        <v>4</v>
      </c>
      <c r="X103" s="6" t="inlineStr">
        <is>
          <t>ok</t>
        </is>
      </c>
      <c r="Y103" s="19" t="n">
        <v>0.0002</v>
      </c>
      <c r="Z103" s="6" t="inlineStr">
        <is>
          <t>ok</t>
        </is>
      </c>
      <c r="AA103" s="12" t="n">
        <v>80</v>
      </c>
      <c r="AB103" s="15" t="inlineStr">
        <is>
          <t>One day (+3.8%) did 89% of the 10-day move. The trend rests on a single jump.</t>
        </is>
      </c>
      <c r="AC103" s="6" t="inlineStr">
        <is>
          <t>ok</t>
        </is>
      </c>
      <c r="AD103" s="6" t="inlineStr">
        <is>
          <t>up</t>
        </is>
      </c>
      <c r="AE103" s="17" t="n">
        <v>93.8866</v>
      </c>
      <c r="AF103" s="17" t="n">
        <v>91.645</v>
      </c>
      <c r="AG103" s="17" t="n">
        <v>96.1283</v>
      </c>
      <c r="AH103" s="20" t="n">
        <v>46331</v>
      </c>
      <c r="AI103" s="18" t="n">
        <v>0.5600000000000001</v>
      </c>
      <c r="AJ103" s="6" t="inlineStr">
        <is>
          <t>ok</t>
        </is>
      </c>
      <c r="AK103" s="12" t="n">
        <v>0</v>
      </c>
      <c r="AL103" s="15" t="n"/>
      <c r="AM103" s="17" t="n">
        <v>92.98999999999999</v>
      </c>
      <c r="AN103" s="19" t="n">
        <v>0.0155</v>
      </c>
      <c r="AO103" s="17" t="n">
        <v>99419.13</v>
      </c>
      <c r="AP103" s="17" t="n">
        <v>16455.92</v>
      </c>
      <c r="AQ103" s="19" t="n">
        <v>0.0833</v>
      </c>
      <c r="AR103" s="16" t="n"/>
      <c r="AS103" s="17" t="n"/>
      <c r="AT103" s="19" t="n"/>
      <c r="AU103" s="6" t="inlineStr">
        <is>
          <t>paper</t>
        </is>
      </c>
      <c r="AV103" s="6" t="inlineStr">
        <is>
          <t>8e339eed-87fb-4c60-bd50-cbc4d5c766d1</t>
        </is>
      </c>
      <c r="AW103" s="6" t="inlineStr">
        <is>
          <t>tdagent-buy-SO-1793288015546</t>
        </is>
      </c>
      <c r="AX103" s="13" t="n">
        <v>46324.64832175926</v>
      </c>
      <c r="AY103" s="13" t="n">
        <v>46324.64832175926</v>
      </c>
      <c r="AZ103" s="13" t="n">
        <v>46324.64809027778</v>
      </c>
      <c r="BA103" s="6" t="n"/>
    </row>
    <row r="104">
      <c r="A104" s="12" t="n">
        <v>103</v>
      </c>
      <c r="B104" s="13" t="n">
        <v>46324.69001157407</v>
      </c>
      <c r="C104" s="13" t="n">
        <v>46324.48167824074</v>
      </c>
      <c r="D104" s="13" t="n">
        <v>46324.64834490741</v>
      </c>
      <c r="E104" s="14" t="inlineStr">
        <is>
          <t>BUY</t>
        </is>
      </c>
      <c r="F104" s="6" t="inlineStr">
        <is>
          <t>EQT</t>
        </is>
      </c>
      <c r="G104" s="15" t="inlineStr">
        <is>
          <t>EQT CORP</t>
        </is>
      </c>
      <c r="H104" s="6" t="inlineStr">
        <is>
          <t>NYSE</t>
        </is>
      </c>
      <c r="I104" s="6" t="inlineStr">
        <is>
          <t>filled</t>
        </is>
      </c>
      <c r="J104" s="16" t="n">
        <v>24.950127411</v>
      </c>
      <c r="K104" s="17" t="n">
        <v>54.94</v>
      </c>
      <c r="L104" s="17">
        <f>IF(AND(ISNUMBER(J104),ISNUMBER(K104)),J104*K104,"")</f>
        <v/>
      </c>
      <c r="M104" s="17" t="n">
        <v>1370.77</v>
      </c>
      <c r="N104" s="16" t="n"/>
      <c r="O104" s="6" t="inlineStr">
        <is>
          <t>4+/5 green</t>
        </is>
      </c>
      <c r="P104" s="15" t="inlineStr">
        <is>
          <t>4 of 5 green, time machine green, rank #5, 8.33% of the $16,455.92 free cash split 12 ways</t>
        </is>
      </c>
      <c r="Q104" s="12" t="n">
        <v>4</v>
      </c>
      <c r="R104" s="6" t="inlineStr">
        <is>
          <t>ok</t>
        </is>
      </c>
      <c r="S104" s="18" t="n">
        <v>0.552</v>
      </c>
      <c r="T104" s="12" t="n">
        <v>29</v>
      </c>
      <c r="U104" s="19" t="n">
        <v>0.0017</v>
      </c>
      <c r="V104" s="19" t="n">
        <v>0.2893</v>
      </c>
      <c r="W104" s="12" t="n">
        <v>5</v>
      </c>
      <c r="X104" s="6" t="inlineStr">
        <is>
          <t>ok</t>
        </is>
      </c>
      <c r="Y104" s="19" t="n">
        <v>0.0011</v>
      </c>
      <c r="Z104" s="6" t="inlineStr">
        <is>
          <t>ok</t>
        </is>
      </c>
      <c r="AA104" s="12" t="n">
        <v>90</v>
      </c>
      <c r="AB104" s="15" t="inlineStr">
        <is>
          <t>Price gapped 5.1% at an open in the last week.</t>
        </is>
      </c>
      <c r="AC104" s="6" t="inlineStr">
        <is>
          <t>ok</t>
        </is>
      </c>
      <c r="AD104" s="6" t="inlineStr">
        <is>
          <t>up</t>
        </is>
      </c>
      <c r="AE104" s="17" t="n">
        <v>55.7426</v>
      </c>
      <c r="AF104" s="17" t="n">
        <v>53.7237</v>
      </c>
      <c r="AG104" s="17" t="n">
        <v>57.7615</v>
      </c>
      <c r="AH104" s="20" t="n">
        <v>46331</v>
      </c>
      <c r="AI104" s="18" t="n">
        <v>0.54</v>
      </c>
      <c r="AJ104" s="6" t="inlineStr">
        <is>
          <t>watch</t>
        </is>
      </c>
      <c r="AK104" s="12" t="n">
        <v>6</v>
      </c>
      <c r="AL104" s="15" t="inlineStr">
        <is>
          <t>UBS Maintains Buy on EQT, Lowers Price Target to $75</t>
        </is>
      </c>
      <c r="AM104" s="17" t="n">
        <v>54.935</v>
      </c>
      <c r="AN104" s="19" t="n">
        <v>-0.023</v>
      </c>
      <c r="AO104" s="17" t="n">
        <v>99419.13</v>
      </c>
      <c r="AP104" s="17" t="n">
        <v>16455.92</v>
      </c>
      <c r="AQ104" s="19" t="n">
        <v>0.0833</v>
      </c>
      <c r="AR104" s="16" t="n"/>
      <c r="AS104" s="17" t="n"/>
      <c r="AT104" s="19" t="n"/>
      <c r="AU104" s="6" t="inlineStr">
        <is>
          <t>paper</t>
        </is>
      </c>
      <c r="AV104" s="6" t="inlineStr">
        <is>
          <t>c8464e45-bd19-4274-bffc-d557838e3703</t>
        </is>
      </c>
      <c r="AW104" s="6" t="inlineStr">
        <is>
          <t>tdagent-buy-EQT-1793288015588</t>
        </is>
      </c>
      <c r="AX104" s="13" t="n">
        <v>46324.64832175926</v>
      </c>
      <c r="AY104" s="13" t="n">
        <v>46324.64834490741</v>
      </c>
      <c r="AZ104" s="13" t="n">
        <v>46324.64809027778</v>
      </c>
      <c r="BA104" s="6" t="n"/>
    </row>
    <row r="105">
      <c r="A105" s="12" t="n">
        <v>104</v>
      </c>
      <c r="B105" s="13" t="n">
        <v>46324.71079861111</v>
      </c>
      <c r="C105" s="13" t="n">
        <v>46324.50246527778</v>
      </c>
      <c r="D105" s="13" t="n">
        <v>46324.66913194444</v>
      </c>
      <c r="E105" s="21" t="inlineStr">
        <is>
          <t>SELL</t>
        </is>
      </c>
      <c r="F105" s="6" t="inlineStr">
        <is>
          <t>XOM</t>
        </is>
      </c>
      <c r="G105" s="15" t="inlineStr">
        <is>
          <t>XOM</t>
        </is>
      </c>
      <c r="H105" s="6" t="inlineStr">
        <is>
          <t>NYSE</t>
        </is>
      </c>
      <c r="I105" s="6" t="inlineStr">
        <is>
          <t>filled</t>
        </is>
      </c>
      <c r="J105" s="16" t="n">
        <v>1.829160246</v>
      </c>
      <c r="K105" s="17" t="n">
        <v>182.01</v>
      </c>
      <c r="L105" s="17">
        <f>IF(AND(ISNUMBER(J105),ISNUMBER(K105)),J105*K105,"")</f>
        <v/>
      </c>
      <c r="M105" s="17" t="n"/>
      <c r="N105" s="16" t="n">
        <v>1.829160246</v>
      </c>
      <c r="O105" s="6" t="inlineStr">
        <is>
          <t>3 green: sell half</t>
        </is>
      </c>
      <c r="P105" s="15" t="inlineStr">
        <is>
          <t>3 of 5 green: start selling (half)</t>
        </is>
      </c>
      <c r="Q105" s="12" t="n">
        <v>3</v>
      </c>
      <c r="R105" s="6" t="inlineStr">
        <is>
          <t>ok</t>
        </is>
      </c>
      <c r="S105" s="18" t="n">
        <v>0.624</v>
      </c>
      <c r="T105" s="12" t="n">
        <v>93</v>
      </c>
      <c r="U105" s="19" t="n">
        <v>0.0119</v>
      </c>
      <c r="V105" s="19" t="n">
        <v>0.2893</v>
      </c>
      <c r="W105" s="12" t="n"/>
      <c r="X105" s="6" t="inlineStr">
        <is>
          <t>ok</t>
        </is>
      </c>
      <c r="Y105" s="19" t="n">
        <v>0.0009</v>
      </c>
      <c r="Z105" s="6" t="inlineStr">
        <is>
          <t>ok</t>
        </is>
      </c>
      <c r="AA105" s="12" t="n">
        <v>100</v>
      </c>
      <c r="AB105" s="15" t="n"/>
      <c r="AC105" s="6" t="inlineStr">
        <is>
          <t>watch</t>
        </is>
      </c>
      <c r="AD105" s="6" t="inlineStr">
        <is>
          <t>flat</t>
        </is>
      </c>
      <c r="AE105" s="17" t="n">
        <v>182.12</v>
      </c>
      <c r="AF105" s="17" t="n">
        <v>175.9674</v>
      </c>
      <c r="AG105" s="17" t="n">
        <v>188.2726</v>
      </c>
      <c r="AH105" s="20" t="n">
        <v>46331</v>
      </c>
      <c r="AI105" s="18" t="n">
        <v>0.5</v>
      </c>
      <c r="AJ105" s="6" t="inlineStr">
        <is>
          <t>watch</t>
        </is>
      </c>
      <c r="AK105" s="12" t="n">
        <v>7</v>
      </c>
      <c r="AL105" s="15" t="inlineStr">
        <is>
          <t>Exxon Mobil and Citgo Petroleum Acquire Venezuelan Crude Oil Shipment</t>
        </is>
      </c>
      <c r="AM105" s="17" t="n">
        <v>182.07</v>
      </c>
      <c r="AN105" s="19" t="n">
        <v>0.0002</v>
      </c>
      <c r="AO105" s="17" t="n">
        <v>99360.92</v>
      </c>
      <c r="AP105" s="17" t="n">
        <v>13714.4</v>
      </c>
      <c r="AQ105" s="19" t="n">
        <v>0.0833</v>
      </c>
      <c r="AR105" s="16" t="n">
        <v>3.658320493</v>
      </c>
      <c r="AS105" s="17" t="n">
        <v>181.72</v>
      </c>
      <c r="AT105" s="19" t="n">
        <v>0.0018</v>
      </c>
      <c r="AU105" s="6" t="inlineStr">
        <is>
          <t>paper</t>
        </is>
      </c>
      <c r="AV105" s="6" t="inlineStr">
        <is>
          <t>d1779449-01e2-4e2c-ab7c-32190e1cec52</t>
        </is>
      </c>
      <c r="AW105" s="6" t="inlineStr">
        <is>
          <t>tdagent-sell-XOM-1793289812720</t>
        </is>
      </c>
      <c r="AX105" s="13" t="n">
        <v>46324.66912037037</v>
      </c>
      <c r="AY105" s="13" t="n">
        <v>46324.66913194444</v>
      </c>
      <c r="AZ105" s="13" t="n">
        <v>46324.66893518518</v>
      </c>
      <c r="BA105" s="6" t="n"/>
    </row>
    <row r="106">
      <c r="A106" s="12" t="n">
        <v>105</v>
      </c>
      <c r="B106" s="13" t="n">
        <v>46324.7149074074</v>
      </c>
      <c r="C106" s="13" t="n">
        <v>46324.50657407408</v>
      </c>
      <c r="D106" s="13" t="n">
        <v>46324.67324074074</v>
      </c>
      <c r="E106" s="14" t="inlineStr">
        <is>
          <t>BUY</t>
        </is>
      </c>
      <c r="F106" s="6" t="inlineStr">
        <is>
          <t>EBAY</t>
        </is>
      </c>
      <c r="G106" s="15" t="inlineStr">
        <is>
          <t>eBay Inc. Common Stock</t>
        </is>
      </c>
      <c r="H106" s="6" t="inlineStr">
        <is>
          <t>NASDAQ</t>
        </is>
      </c>
      <c r="I106" s="6" t="inlineStr">
        <is>
          <t>filled</t>
        </is>
      </c>
      <c r="J106" s="16" t="n">
        <v>9.638632618999999</v>
      </c>
      <c r="K106" s="17" t="n">
        <v>121.4</v>
      </c>
      <c r="L106" s="17">
        <f>IF(AND(ISNUMBER(J106),ISNUMBER(K106)),J106*K106,"")</f>
        <v/>
      </c>
      <c r="M106" s="17" t="n">
        <v>1170.14</v>
      </c>
      <c r="N106" s="16" t="n"/>
      <c r="O106" s="6" t="inlineStr">
        <is>
          <t>4+/5 green</t>
        </is>
      </c>
      <c r="P106" s="15" t="inlineStr">
        <is>
          <t>4 of 5 green, time machine green, rank #3, 8.33% of the $14,047.33 free cash split 12 ways</t>
        </is>
      </c>
      <c r="Q106" s="12" t="n">
        <v>4</v>
      </c>
      <c r="R106" s="6" t="inlineStr">
        <is>
          <t>ok</t>
        </is>
      </c>
      <c r="S106" s="18" t="n">
        <v>0.55</v>
      </c>
      <c r="T106" s="12" t="n">
        <v>40</v>
      </c>
      <c r="U106" s="19" t="n">
        <v>0.005500000000000001</v>
      </c>
      <c r="V106" s="19" t="n">
        <v>0.2893</v>
      </c>
      <c r="W106" s="12" t="n">
        <v>3</v>
      </c>
      <c r="X106" s="6" t="inlineStr">
        <is>
          <t>ok</t>
        </is>
      </c>
      <c r="Y106" s="19" t="n">
        <v>0.0011</v>
      </c>
      <c r="Z106" s="6" t="inlineStr">
        <is>
          <t>ok</t>
        </is>
      </c>
      <c r="AA106" s="12" t="n">
        <v>100</v>
      </c>
      <c r="AB106" s="15" t="n"/>
      <c r="AC106" s="6" t="inlineStr">
        <is>
          <t>ok</t>
        </is>
      </c>
      <c r="AD106" s="6" t="inlineStr">
        <is>
          <t>up</t>
        </is>
      </c>
      <c r="AE106" s="17" t="n">
        <v>123.4909</v>
      </c>
      <c r="AF106" s="17" t="n">
        <v>118.4136</v>
      </c>
      <c r="AG106" s="17" t="n">
        <v>128.5682</v>
      </c>
      <c r="AH106" s="20" t="n">
        <v>46331</v>
      </c>
      <c r="AI106" s="18" t="n">
        <v>0.55</v>
      </c>
      <c r="AJ106" s="6" t="inlineStr">
        <is>
          <t>watch</t>
        </is>
      </c>
      <c r="AK106" s="12" t="n">
        <v>10</v>
      </c>
      <c r="AL106" s="15" t="inlineStr">
        <is>
          <t>eBay Stock Nears 52-Week High on 2027 Growth Outlook</t>
        </is>
      </c>
      <c r="AM106" s="17" t="n">
        <v>121.46</v>
      </c>
      <c r="AN106" s="19" t="n">
        <v>0.0298</v>
      </c>
      <c r="AO106" s="17" t="n">
        <v>99391.81</v>
      </c>
      <c r="AP106" s="17" t="n">
        <v>14047.33</v>
      </c>
      <c r="AQ106" s="19" t="n">
        <v>0.0833</v>
      </c>
      <c r="AR106" s="16" t="n"/>
      <c r="AS106" s="17" t="n"/>
      <c r="AT106" s="19" t="n"/>
      <c r="AU106" s="6" t="inlineStr">
        <is>
          <t>paper</t>
        </is>
      </c>
      <c r="AV106" s="6" t="inlineStr">
        <is>
          <t>8f3a9ec6-8716-4391-8ca4-3f77ebea3507</t>
        </is>
      </c>
      <c r="AW106" s="6" t="inlineStr">
        <is>
          <t>tdagent-buy-EBAY-1793290168000</t>
        </is>
      </c>
      <c r="AX106" s="13" t="n">
        <v>46324.67324074074</v>
      </c>
      <c r="AY106" s="13" t="n">
        <v>46324.67324074074</v>
      </c>
      <c r="AZ106" s="13" t="n">
        <v>46324.67306712963</v>
      </c>
      <c r="BA106" s="6" t="n"/>
    </row>
    <row r="107">
      <c r="A107" s="12" t="n">
        <v>106</v>
      </c>
      <c r="B107" s="13" t="n">
        <v>46324.78903935185</v>
      </c>
      <c r="C107" s="13" t="n">
        <v>46324.58070601852</v>
      </c>
      <c r="D107" s="13" t="n">
        <v>46324.74737268518</v>
      </c>
      <c r="E107" s="21" t="inlineStr">
        <is>
          <t>SELL</t>
        </is>
      </c>
      <c r="F107" s="6" t="inlineStr">
        <is>
          <t>AVTR</t>
        </is>
      </c>
      <c r="G107" s="15" t="n"/>
      <c r="H107" s="6" t="n"/>
      <c r="I107" s="6" t="inlineStr">
        <is>
          <t>filled</t>
        </is>
      </c>
      <c r="J107" s="16" t="n">
        <v>40.314736203</v>
      </c>
      <c r="K107" s="17" t="n">
        <v>16.54</v>
      </c>
      <c r="L107" s="17">
        <f>IF(AND(ISNUMBER(J107),ISNUMBER(K107)),J107*K107,"")</f>
        <v/>
      </c>
      <c r="M107" s="17" t="n"/>
      <c r="N107" s="16" t="n">
        <v>40.314736203</v>
      </c>
      <c r="O107" s="6" t="inlineStr">
        <is>
          <t>stop-loss (Alpaca order)</t>
        </is>
      </c>
      <c r="P107" s="15" t="inlineStr">
        <is>
          <t>Alpaca stop order triggered at 16.55 (the stock's sell line)</t>
        </is>
      </c>
      <c r="Q107" s="12" t="n"/>
      <c r="R107" s="6" t="n"/>
      <c r="S107" s="18" t="n"/>
      <c r="T107" s="12" t="n"/>
      <c r="U107" s="19" t="n"/>
      <c r="V107" s="19" t="n"/>
      <c r="W107" s="12" t="n"/>
      <c r="X107" s="6" t="n"/>
      <c r="Y107" s="19" t="n"/>
      <c r="Z107" s="6" t="n"/>
      <c r="AA107" s="12" t="n"/>
      <c r="AB107" s="15" t="n"/>
      <c r="AC107" s="6" t="n"/>
      <c r="AD107" s="6" t="n"/>
      <c r="AE107" s="17" t="n"/>
      <c r="AF107" s="17" t="n"/>
      <c r="AG107" s="17" t="n"/>
      <c r="AH107" s="20" t="n"/>
      <c r="AI107" s="18" t="n"/>
      <c r="AJ107" s="6" t="n"/>
      <c r="AK107" s="12" t="n"/>
      <c r="AL107" s="15" t="n"/>
      <c r="AM107" s="17" t="n"/>
      <c r="AN107" s="19" t="n"/>
      <c r="AO107" s="17" t="n"/>
      <c r="AP107" s="17" t="n"/>
      <c r="AQ107" s="19" t="n"/>
      <c r="AR107" s="16" t="n"/>
      <c r="AS107" s="17" t="n"/>
      <c r="AT107" s="19" t="n"/>
      <c r="AU107" s="6" t="inlineStr">
        <is>
          <t>paper</t>
        </is>
      </c>
      <c r="AV107" s="6" t="inlineStr">
        <is>
          <t>c5898ad1-8ed5-4f96-859c-f303e2b03686</t>
        </is>
      </c>
      <c r="AW107" s="6" t="inlineStr">
        <is>
          <t>tdagent-stop-AVTR-1793291808809</t>
        </is>
      </c>
      <c r="AX107" s="13" t="n">
        <v>46324.69222222222</v>
      </c>
      <c r="AY107" s="13" t="n">
        <v>46324.74737268518</v>
      </c>
      <c r="AZ107" s="13" t="n"/>
      <c r="BA107" s="6" t="n"/>
    </row>
    <row r="108">
      <c r="A108" s="12" t="n">
        <v>107</v>
      </c>
      <c r="B108" s="13" t="n">
        <v>46324.75462962963</v>
      </c>
      <c r="C108" s="13" t="n">
        <v>46324.5462962963</v>
      </c>
      <c r="D108" s="13" t="n">
        <v>46324.71296296296</v>
      </c>
      <c r="E108" s="21" t="inlineStr">
        <is>
          <t>SELL</t>
        </is>
      </c>
      <c r="F108" s="6" t="inlineStr">
        <is>
          <t>ACN</t>
        </is>
      </c>
      <c r="G108" s="15" t="inlineStr">
        <is>
          <t>ACN</t>
        </is>
      </c>
      <c r="H108" s="6" t="inlineStr">
        <is>
          <t>NYSE</t>
        </is>
      </c>
      <c r="I108" s="6" t="inlineStr">
        <is>
          <t>filled</t>
        </is>
      </c>
      <c r="J108" s="16" t="n">
        <v>1.363168471</v>
      </c>
      <c r="K108" s="17" t="n">
        <v>245.55</v>
      </c>
      <c r="L108" s="17">
        <f>IF(AND(ISNUMBER(J108),ISNUMBER(K108)),J108*K108,"")</f>
        <v/>
      </c>
      <c r="M108" s="17" t="n"/>
      <c r="N108" s="16" t="n">
        <v>1.363168471</v>
      </c>
      <c r="O108" s="6" t="inlineStr">
        <is>
          <t>3 green: sell half</t>
        </is>
      </c>
      <c r="P108" s="15" t="inlineStr">
        <is>
          <t>3 of 5 green: start selling (half)</t>
        </is>
      </c>
      <c r="Q108" s="12" t="n">
        <v>3</v>
      </c>
      <c r="R108" s="6" t="inlineStr">
        <is>
          <t>ok</t>
        </is>
      </c>
      <c r="S108" s="18" t="n">
        <v>0.551</v>
      </c>
      <c r="T108" s="12" t="n">
        <v>49</v>
      </c>
      <c r="U108" s="19" t="n">
        <v>0.0072</v>
      </c>
      <c r="V108" s="19" t="n">
        <v>0.2893</v>
      </c>
      <c r="W108" s="12" t="n"/>
      <c r="X108" s="6" t="inlineStr">
        <is>
          <t>ok</t>
        </is>
      </c>
      <c r="Y108" s="19" t="n">
        <v>0.0014</v>
      </c>
      <c r="Z108" s="6" t="inlineStr">
        <is>
          <t>ok</t>
        </is>
      </c>
      <c r="AA108" s="12" t="n">
        <v>100</v>
      </c>
      <c r="AB108" s="15" t="n"/>
      <c r="AC108" s="6" t="inlineStr">
        <is>
          <t>watch</t>
        </is>
      </c>
      <c r="AD108" s="6" t="inlineStr">
        <is>
          <t>flat</t>
        </is>
      </c>
      <c r="AE108" s="17" t="n">
        <v>245.24</v>
      </c>
      <c r="AF108" s="17" t="n">
        <v>226.362</v>
      </c>
      <c r="AG108" s="17" t="n">
        <v>264.118</v>
      </c>
      <c r="AH108" s="20" t="n">
        <v>46331</v>
      </c>
      <c r="AI108" s="18" t="n">
        <v>0.5</v>
      </c>
      <c r="AJ108" s="6" t="inlineStr">
        <is>
          <t>watch</t>
        </is>
      </c>
      <c r="AK108" s="12" t="n">
        <v>6</v>
      </c>
      <c r="AL108" s="15" t="inlineStr">
        <is>
          <t>Accenture Recognized in 2026 Guidewire PartnerConnect Excellence Awards</t>
        </is>
      </c>
      <c r="AM108" s="17" t="n">
        <v>245.585</v>
      </c>
      <c r="AN108" s="19" t="n">
        <v>0.005699999999999999</v>
      </c>
      <c r="AO108" s="17" t="n">
        <v>99521.99000000001</v>
      </c>
      <c r="AP108" s="17" t="n">
        <v>12877.2</v>
      </c>
      <c r="AQ108" s="19" t="n">
        <v>0.0833</v>
      </c>
      <c r="AR108" s="16" t="n">
        <v>2.726336942</v>
      </c>
      <c r="AS108" s="17" t="n">
        <v>243.84</v>
      </c>
      <c r="AT108" s="19" t="n">
        <v>0.0072</v>
      </c>
      <c r="AU108" s="6" t="inlineStr">
        <is>
          <t>paper</t>
        </is>
      </c>
      <c r="AV108" s="6" t="inlineStr">
        <is>
          <t>54ffb774-a2a5-48dc-bed4-428649caa4b4</t>
        </is>
      </c>
      <c r="AW108" s="6" t="inlineStr">
        <is>
          <t>tdagent-sell-ACN-1793293599550</t>
        </is>
      </c>
      <c r="AX108" s="13" t="n">
        <v>46324.71295138889</v>
      </c>
      <c r="AY108" s="13" t="n">
        <v>46324.71296296296</v>
      </c>
      <c r="AZ108" s="13" t="n">
        <v>46324.71270833333</v>
      </c>
      <c r="BA108" s="6" t="n"/>
    </row>
    <row r="109">
      <c r="A109" s="12" t="n">
        <v>108</v>
      </c>
      <c r="B109" s="13" t="n">
        <v>46324.75886574074</v>
      </c>
      <c r="C109" s="13" t="n">
        <v>46324.5505324074</v>
      </c>
      <c r="D109" s="13" t="n">
        <v>46324.71719907408</v>
      </c>
      <c r="E109" s="21" t="inlineStr">
        <is>
          <t>SELL</t>
        </is>
      </c>
      <c r="F109" s="6" t="inlineStr">
        <is>
          <t>EQT</t>
        </is>
      </c>
      <c r="G109" s="15" t="inlineStr">
        <is>
          <t>EQT</t>
        </is>
      </c>
      <c r="H109" s="6" t="inlineStr">
        <is>
          <t>NYSE</t>
        </is>
      </c>
      <c r="I109" s="6" t="inlineStr">
        <is>
          <t>filled</t>
        </is>
      </c>
      <c r="J109" s="16" t="n">
        <v>24.950127411</v>
      </c>
      <c r="K109" s="17" t="n">
        <v>54.75</v>
      </c>
      <c r="L109" s="17">
        <f>IF(AND(ISNUMBER(J109),ISNUMBER(K109)),J109*K109,"")</f>
        <v/>
      </c>
      <c r="M109" s="17" t="n"/>
      <c r="N109" s="16" t="n">
        <v>24.950127411</v>
      </c>
      <c r="O109" s="6" t="inlineStr">
        <is>
          <t>2 or fewer green</t>
        </is>
      </c>
      <c r="P109" s="15" t="inlineStr">
        <is>
          <t>Only 2 of 5 green</t>
        </is>
      </c>
      <c r="Q109" s="12" t="n">
        <v>2</v>
      </c>
      <c r="R109" s="6" t="inlineStr">
        <is>
          <t>ok</t>
        </is>
      </c>
      <c r="S109" s="18" t="n">
        <v>0.552</v>
      </c>
      <c r="T109" s="12" t="n">
        <v>29</v>
      </c>
      <c r="U109" s="19" t="n">
        <v>0.0017</v>
      </c>
      <c r="V109" s="19" t="n">
        <v>0.2893</v>
      </c>
      <c r="W109" s="12" t="n"/>
      <c r="X109" s="6" t="inlineStr">
        <is>
          <t>ok</t>
        </is>
      </c>
      <c r="Y109" s="19" t="n">
        <v>0.0014</v>
      </c>
      <c r="Z109" s="6" t="inlineStr">
        <is>
          <t>alert</t>
        </is>
      </c>
      <c r="AA109" s="12" t="n">
        <v>60</v>
      </c>
      <c r="AB109" s="15" t="inlineStr">
        <is>
          <t>Price gapped 5.1% at an open in the last week.; Rose 4.1% then gave back most of it within hours. Looks like pump-and-fade.</t>
        </is>
      </c>
      <c r="AC109" s="6" t="inlineStr">
        <is>
          <t>watch</t>
        </is>
      </c>
      <c r="AD109" s="6" t="inlineStr">
        <is>
          <t>up</t>
        </is>
      </c>
      <c r="AE109" s="17" t="n">
        <v>55.5938</v>
      </c>
      <c r="AF109" s="17" t="n">
        <v>53.5719</v>
      </c>
      <c r="AG109" s="17" t="n">
        <v>57.6156</v>
      </c>
      <c r="AH109" s="20" t="n">
        <v>46331</v>
      </c>
      <c r="AI109" s="18" t="n">
        <v>0.54</v>
      </c>
      <c r="AJ109" s="6" t="inlineStr">
        <is>
          <t>watch</t>
        </is>
      </c>
      <c r="AK109" s="12" t="n">
        <v>6</v>
      </c>
      <c r="AL109" s="15" t="inlineStr">
        <is>
          <t>UBS Maintains Buy on EQT, Lowers Price Target to $75</t>
        </is>
      </c>
      <c r="AM109" s="17" t="n">
        <v>54.785</v>
      </c>
      <c r="AN109" s="19" t="n">
        <v>-0.0257</v>
      </c>
      <c r="AO109" s="17" t="n">
        <v>99498.22</v>
      </c>
      <c r="AP109" s="17" t="n">
        <v>13211.93</v>
      </c>
      <c r="AQ109" s="19" t="n">
        <v>0.0833</v>
      </c>
      <c r="AR109" s="16" t="n">
        <v>24.950127411</v>
      </c>
      <c r="AS109" s="17" t="n">
        <v>54.94</v>
      </c>
      <c r="AT109" s="19" t="n">
        <v>-0.0033</v>
      </c>
      <c r="AU109" s="6" t="inlineStr">
        <is>
          <t>paper</t>
        </is>
      </c>
      <c r="AV109" s="6" t="inlineStr">
        <is>
          <t>3539abf7-dadc-480f-b7ab-2912f7545db5</t>
        </is>
      </c>
      <c r="AW109" s="6" t="inlineStr">
        <is>
          <t>tdagent-sell-EQT-1793293964775</t>
        </is>
      </c>
      <c r="AX109" s="13" t="n">
        <v>46324.71717592593</v>
      </c>
      <c r="AY109" s="13" t="n">
        <v>46324.71719907408</v>
      </c>
      <c r="AZ109" s="13" t="n">
        <v>46324.71689814814</v>
      </c>
      <c r="BA109" s="6" t="n"/>
    </row>
    <row r="110">
      <c r="A110" s="12" t="n">
        <v>109</v>
      </c>
      <c r="B110" s="13" t="n">
        <v>46324.76877314815</v>
      </c>
      <c r="C110" s="13" t="n">
        <v>46324.56043981481</v>
      </c>
      <c r="D110" s="13" t="n">
        <v>46324.72710648148</v>
      </c>
      <c r="E110" s="21" t="inlineStr">
        <is>
          <t>SELL</t>
        </is>
      </c>
      <c r="F110" s="6" t="inlineStr">
        <is>
          <t>ILMN</t>
        </is>
      </c>
      <c r="G110" s="15" t="n"/>
      <c r="H110" s="6" t="n"/>
      <c r="I110" s="6" t="inlineStr">
        <is>
          <t>filled</t>
        </is>
      </c>
      <c r="J110" s="16" t="n">
        <v>2.303818963</v>
      </c>
      <c r="K110" s="17" t="n">
        <v>289.14</v>
      </c>
      <c r="L110" s="17">
        <f>IF(AND(ISNUMBER(J110),ISNUMBER(K110)),J110*K110,"")</f>
        <v/>
      </c>
      <c r="M110" s="17" t="n"/>
      <c r="N110" s="16" t="n">
        <v>2.303818963</v>
      </c>
      <c r="O110" s="6" t="inlineStr">
        <is>
          <t>stop-loss (Alpaca order)</t>
        </is>
      </c>
      <c r="P110" s="15" t="inlineStr">
        <is>
          <t>Alpaca stop order triggered at 289.95 (the stock's sell line)</t>
        </is>
      </c>
      <c r="Q110" s="12" t="n"/>
      <c r="R110" s="6" t="n"/>
      <c r="S110" s="18" t="n"/>
      <c r="T110" s="12" t="n"/>
      <c r="U110" s="19" t="n"/>
      <c r="V110" s="19" t="n"/>
      <c r="W110" s="12" t="n"/>
      <c r="X110" s="6" t="n"/>
      <c r="Y110" s="19" t="n"/>
      <c r="Z110" s="6" t="n"/>
      <c r="AA110" s="12" t="n"/>
      <c r="AB110" s="15" t="n"/>
      <c r="AC110" s="6" t="n"/>
      <c r="AD110" s="6" t="n"/>
      <c r="AE110" s="17" t="n"/>
      <c r="AF110" s="17" t="n"/>
      <c r="AG110" s="17" t="n"/>
      <c r="AH110" s="20" t="n"/>
      <c r="AI110" s="18" t="n"/>
      <c r="AJ110" s="6" t="n"/>
      <c r="AK110" s="12" t="n"/>
      <c r="AL110" s="15" t="n"/>
      <c r="AM110" s="17" t="n"/>
      <c r="AN110" s="19" t="n"/>
      <c r="AO110" s="17" t="n"/>
      <c r="AP110" s="17" t="n"/>
      <c r="AQ110" s="19" t="n"/>
      <c r="AR110" s="16" t="n"/>
      <c r="AS110" s="17" t="n"/>
      <c r="AT110" s="19" t="n"/>
      <c r="AU110" s="6" t="inlineStr">
        <is>
          <t>paper</t>
        </is>
      </c>
      <c r="AV110" s="6" t="inlineStr">
        <is>
          <t>ce4efa09-f361-4d52-9ef0-72a2d170660d</t>
        </is>
      </c>
      <c r="AW110" s="6" t="inlineStr">
        <is>
          <t>tdagent-stop-ILMN-1793293969433</t>
        </is>
      </c>
      <c r="AX110" s="13" t="n">
        <v>46324.7172337963</v>
      </c>
      <c r="AY110" s="13" t="n">
        <v>46324.72710648148</v>
      </c>
      <c r="AZ110" s="13" t="n"/>
      <c r="BA110" s="6" t="n"/>
    </row>
    <row r="111">
      <c r="A111" s="12" t="n">
        <v>110</v>
      </c>
      <c r="B111" s="13" t="n">
        <v>46324.78953703704</v>
      </c>
      <c r="C111" s="13" t="n">
        <v>46324.5812037037</v>
      </c>
      <c r="D111" s="13" t="n">
        <v>46324.74787037037</v>
      </c>
      <c r="E111" s="21" t="inlineStr">
        <is>
          <t>SELL</t>
        </is>
      </c>
      <c r="F111" s="6" t="inlineStr">
        <is>
          <t>TMO</t>
        </is>
      </c>
      <c r="G111" s="15" t="n"/>
      <c r="H111" s="6" t="n"/>
      <c r="I111" s="6" t="inlineStr">
        <is>
          <t>filled</t>
        </is>
      </c>
      <c r="J111" s="16" t="n">
        <v>11.851651941</v>
      </c>
      <c r="K111" s="17" t="n">
        <v>704.25</v>
      </c>
      <c r="L111" s="17">
        <f>IF(AND(ISNUMBER(J111),ISNUMBER(K111)),J111*K111,"")</f>
        <v/>
      </c>
      <c r="M111" s="17" t="n"/>
      <c r="N111" s="16" t="n">
        <v>11.851651941</v>
      </c>
      <c r="O111" s="6" t="inlineStr">
        <is>
          <t>stop-loss (Alpaca order)</t>
        </is>
      </c>
      <c r="P111" s="15" t="inlineStr">
        <is>
          <t>Alpaca stop order triggered at 704.35 (the stock's sell line)</t>
        </is>
      </c>
      <c r="Q111" s="12" t="n"/>
      <c r="R111" s="6" t="n"/>
      <c r="S111" s="18" t="n"/>
      <c r="T111" s="12" t="n"/>
      <c r="U111" s="19" t="n"/>
      <c r="V111" s="19" t="n"/>
      <c r="W111" s="12" t="n"/>
      <c r="X111" s="6" t="n"/>
      <c r="Y111" s="19" t="n"/>
      <c r="Z111" s="6" t="n"/>
      <c r="AA111" s="12" t="n"/>
      <c r="AB111" s="15" t="n"/>
      <c r="AC111" s="6" t="n"/>
      <c r="AD111" s="6" t="n"/>
      <c r="AE111" s="17" t="n"/>
      <c r="AF111" s="17" t="n"/>
      <c r="AG111" s="17" t="n"/>
      <c r="AH111" s="20" t="n"/>
      <c r="AI111" s="18" t="n"/>
      <c r="AJ111" s="6" t="n"/>
      <c r="AK111" s="12" t="n"/>
      <c r="AL111" s="15" t="n"/>
      <c r="AM111" s="17" t="n"/>
      <c r="AN111" s="19" t="n"/>
      <c r="AO111" s="17" t="n"/>
      <c r="AP111" s="17" t="n"/>
      <c r="AQ111" s="19" t="n"/>
      <c r="AR111" s="16" t="n"/>
      <c r="AS111" s="17" t="n"/>
      <c r="AT111" s="19" t="n"/>
      <c r="AU111" s="6" t="inlineStr">
        <is>
          <t>paper</t>
        </is>
      </c>
      <c r="AV111" s="6" t="inlineStr">
        <is>
          <t>40c48aa1-abe9-44e0-9690-d876391f8eb9</t>
        </is>
      </c>
      <c r="AW111" s="6" t="inlineStr">
        <is>
          <t>tdagent-stop-TMO-1793293970703</t>
        </is>
      </c>
      <c r="AX111" s="13" t="n">
        <v>46324.71724537037</v>
      </c>
      <c r="AY111" s="13" t="n">
        <v>46324.74787037037</v>
      </c>
      <c r="AZ111" s="13" t="n"/>
      <c r="BA111" s="6" t="n"/>
    </row>
    <row r="112">
      <c r="A112" s="12" t="n">
        <v>111</v>
      </c>
      <c r="B112" s="13" t="n">
        <v>46324.77543981482</v>
      </c>
      <c r="C112" s="13" t="n">
        <v>46324.56710648148</v>
      </c>
      <c r="D112" s="13" t="n">
        <v>46324.73377314815</v>
      </c>
      <c r="E112" s="14" t="inlineStr">
        <is>
          <t>BUY</t>
        </is>
      </c>
      <c r="F112" s="6" t="inlineStr">
        <is>
          <t>REGN</t>
        </is>
      </c>
      <c r="G112" s="15" t="inlineStr">
        <is>
          <t>Regeneron Pharmaceuticals, Inc. Common Stock</t>
        </is>
      </c>
      <c r="H112" s="6" t="inlineStr">
        <is>
          <t>NASDAQ</t>
        </is>
      </c>
      <c r="I112" s="6" t="inlineStr">
        <is>
          <t>filled</t>
        </is>
      </c>
      <c r="J112" s="16" t="n">
        <v>1.562144008</v>
      </c>
      <c r="K112" s="17" t="n">
        <v>812.87</v>
      </c>
      <c r="L112" s="17">
        <f>IF(AND(ISNUMBER(J112),ISNUMBER(K112)),J112*K112,"")</f>
        <v/>
      </c>
      <c r="M112" s="17" t="n">
        <v>1269.83</v>
      </c>
      <c r="N112" s="16" t="n"/>
      <c r="O112" s="6" t="inlineStr">
        <is>
          <t>4+/5 green</t>
        </is>
      </c>
      <c r="P112" s="15" t="inlineStr">
        <is>
          <t>5 of 5 green, time machine green, rank #4, 8.33% of the $15,244.08 free cash split 12 ways</t>
        </is>
      </c>
      <c r="Q112" s="12" t="n">
        <v>5</v>
      </c>
      <c r="R112" s="6" t="inlineStr">
        <is>
          <t>ok</t>
        </is>
      </c>
      <c r="S112" s="18" t="n">
        <v>0.59</v>
      </c>
      <c r="T112" s="12" t="n">
        <v>39</v>
      </c>
      <c r="U112" s="19" t="n">
        <v>0.0069</v>
      </c>
      <c r="V112" s="19" t="n">
        <v>0.2893</v>
      </c>
      <c r="W112" s="12" t="n">
        <v>4</v>
      </c>
      <c r="X112" s="6" t="inlineStr">
        <is>
          <t>ok</t>
        </is>
      </c>
      <c r="Y112" s="19" t="n">
        <v>0.0018</v>
      </c>
      <c r="Z112" s="6" t="inlineStr">
        <is>
          <t>ok</t>
        </is>
      </c>
      <c r="AA112" s="12" t="n">
        <v>100</v>
      </c>
      <c r="AB112" s="15" t="n"/>
      <c r="AC112" s="6" t="inlineStr">
        <is>
          <t>ok</t>
        </is>
      </c>
      <c r="AD112" s="6" t="inlineStr">
        <is>
          <t>up</t>
        </is>
      </c>
      <c r="AE112" s="17" t="n">
        <v>824.77</v>
      </c>
      <c r="AF112" s="17" t="n">
        <v>793.6451</v>
      </c>
      <c r="AG112" s="17" t="n">
        <v>855.8949</v>
      </c>
      <c r="AH112" s="20" t="n">
        <v>46331</v>
      </c>
      <c r="AI112" s="18" t="n">
        <v>0.53</v>
      </c>
      <c r="AJ112" s="6" t="inlineStr">
        <is>
          <t>ok</t>
        </is>
      </c>
      <c r="AK112" s="12" t="n">
        <v>4</v>
      </c>
      <c r="AL112" s="15" t="inlineStr">
        <is>
          <t>Canaccord Genuity Maintains Buy on Regeneron Pharmaceuticals, Raises Price Target to $922</t>
        </is>
      </c>
      <c r="AM112" s="17" t="n">
        <v>812.3200000000001</v>
      </c>
      <c r="AN112" s="19" t="n">
        <v>-0.0016</v>
      </c>
      <c r="AO112" s="17" t="n">
        <v>99345.75</v>
      </c>
      <c r="AP112" s="17" t="n">
        <v>15244.08</v>
      </c>
      <c r="AQ112" s="19" t="n">
        <v>0.0833</v>
      </c>
      <c r="AR112" s="16" t="n"/>
      <c r="AS112" s="17" t="n"/>
      <c r="AT112" s="19" t="n"/>
      <c r="AU112" s="6" t="inlineStr">
        <is>
          <t>paper</t>
        </is>
      </c>
      <c r="AV112" s="6" t="inlineStr">
        <is>
          <t>1f5a23ed-afbf-4216-8e41-ba5eccfed86a</t>
        </is>
      </c>
      <c r="AW112" s="6" t="inlineStr">
        <is>
          <t>tdagent-buy-REGN-1793295398213</t>
        </is>
      </c>
      <c r="AX112" s="13" t="n">
        <v>46324.73377314815</v>
      </c>
      <c r="AY112" s="13" t="n">
        <v>46324.73377314815</v>
      </c>
      <c r="AZ112" s="13" t="n">
        <v>46324.73350694445</v>
      </c>
      <c r="BA112" s="6" t="n"/>
    </row>
    <row r="113">
      <c r="A113" s="12" t="n">
        <v>112</v>
      </c>
      <c r="B113" s="13" t="n">
        <v>46324.81153935185</v>
      </c>
      <c r="C113" s="13" t="n">
        <v>46324.60320601852</v>
      </c>
      <c r="D113" s="13" t="n">
        <v>46324.76987268519</v>
      </c>
      <c r="E113" s="21" t="inlineStr">
        <is>
          <t>SELL</t>
        </is>
      </c>
      <c r="F113" s="6" t="inlineStr">
        <is>
          <t>LIN</t>
        </is>
      </c>
      <c r="G113" s="15" t="inlineStr">
        <is>
          <t>LIN</t>
        </is>
      </c>
      <c r="H113" s="6" t="inlineStr">
        <is>
          <t>NASDAQ</t>
        </is>
      </c>
      <c r="I113" s="6" t="inlineStr">
        <is>
          <t>filled</t>
        </is>
      </c>
      <c r="J113" s="16" t="n">
        <v>0.662854464</v>
      </c>
      <c r="K113" s="17" t="n">
        <v>502.818</v>
      </c>
      <c r="L113" s="17">
        <f>IF(AND(ISNUMBER(J113),ISNUMBER(K113)),J113*K113,"")</f>
        <v/>
      </c>
      <c r="M113" s="17" t="n"/>
      <c r="N113" s="16" t="n">
        <v>0.662854464</v>
      </c>
      <c r="O113" s="6" t="inlineStr">
        <is>
          <t>3 green: sell half</t>
        </is>
      </c>
      <c r="P113" s="15" t="inlineStr">
        <is>
          <t>3 of 5 green: start selling (half)</t>
        </is>
      </c>
      <c r="Q113" s="12" t="n">
        <v>3</v>
      </c>
      <c r="R113" s="6" t="inlineStr">
        <is>
          <t>ok</t>
        </is>
      </c>
      <c r="S113" s="18" t="n">
        <v>0.635</v>
      </c>
      <c r="T113" s="12" t="n">
        <v>52</v>
      </c>
      <c r="U113" s="19" t="n">
        <v>0.0104</v>
      </c>
      <c r="V113" s="19" t="n">
        <v>0.2893</v>
      </c>
      <c r="W113" s="12" t="n"/>
      <c r="X113" s="6" t="inlineStr">
        <is>
          <t>ok</t>
        </is>
      </c>
      <c r="Y113" s="19" t="n">
        <v>0.0003</v>
      </c>
      <c r="Z113" s="6" t="inlineStr">
        <is>
          <t>ok</t>
        </is>
      </c>
      <c r="AA113" s="12" t="n">
        <v>100</v>
      </c>
      <c r="AB113" s="15" t="n"/>
      <c r="AC113" s="6" t="inlineStr">
        <is>
          <t>watch</t>
        </is>
      </c>
      <c r="AD113" s="6" t="inlineStr">
        <is>
          <t>flat</t>
        </is>
      </c>
      <c r="AE113" s="17" t="n">
        <v>502.76</v>
      </c>
      <c r="AF113" s="17" t="n">
        <v>492.6839</v>
      </c>
      <c r="AG113" s="17" t="n">
        <v>512.8361</v>
      </c>
      <c r="AH113" s="20" t="n">
        <v>46331</v>
      </c>
      <c r="AI113" s="18" t="n">
        <v>0.5</v>
      </c>
      <c r="AJ113" s="6" t="inlineStr">
        <is>
          <t>watch</t>
        </is>
      </c>
      <c r="AK113" s="12" t="n">
        <v>9</v>
      </c>
      <c r="AL113" s="15" t="inlineStr">
        <is>
          <t>Linde Q3 2026 Earnings Call Transcript</t>
        </is>
      </c>
      <c r="AM113" s="17" t="n">
        <v>502.905</v>
      </c>
      <c r="AN113" s="19" t="n">
        <v>-0.0104</v>
      </c>
      <c r="AO113" s="17" t="n">
        <v>99432.78</v>
      </c>
      <c r="AP113" s="17" t="n">
        <v>22987.6</v>
      </c>
      <c r="AQ113" s="19" t="n">
        <v>0.0833</v>
      </c>
      <c r="AR113" s="16" t="n">
        <v>1.325708929</v>
      </c>
      <c r="AS113" s="17" t="n">
        <v>501.46</v>
      </c>
      <c r="AT113" s="19" t="n">
        <v>0.0027</v>
      </c>
      <c r="AU113" s="6" t="inlineStr">
        <is>
          <t>paper</t>
        </is>
      </c>
      <c r="AV113" s="6" t="inlineStr">
        <is>
          <t>b675bf9c-d103-4e06-b118-e159543a194b</t>
        </is>
      </c>
      <c r="AW113" s="6" t="inlineStr">
        <is>
          <t>tdagent-sell-LIN-1793298517331</t>
        </is>
      </c>
      <c r="AX113" s="13" t="n">
        <v>46324.76987268519</v>
      </c>
      <c r="AY113" s="13" t="n">
        <v>46324.76987268519</v>
      </c>
      <c r="AZ113" s="13" t="n">
        <v>46324.7696412037</v>
      </c>
      <c r="BA113" s="6" t="n"/>
    </row>
    <row r="114">
      <c r="A114" s="12" t="n">
        <v>113</v>
      </c>
      <c r="B114" s="13" t="n">
        <v>46324.85206018519</v>
      </c>
      <c r="C114" s="13" t="n">
        <v>46324.64372685185</v>
      </c>
      <c r="D114" s="13" t="n">
        <v>46324.81039351852</v>
      </c>
      <c r="E114" s="21" t="inlineStr">
        <is>
          <t>SELL</t>
        </is>
      </c>
      <c r="F114" s="6" t="inlineStr">
        <is>
          <t>EBAY</t>
        </is>
      </c>
      <c r="G114" s="15" t="n"/>
      <c r="H114" s="6" t="n"/>
      <c r="I114" s="6" t="inlineStr">
        <is>
          <t>filled</t>
        </is>
      </c>
      <c r="J114" s="16" t="n">
        <v>9.638632618999999</v>
      </c>
      <c r="K114" s="17" t="n">
        <v>122.25</v>
      </c>
      <c r="L114" s="17">
        <f>IF(AND(ISNUMBER(J114),ISNUMBER(K114)),J114*K114,"")</f>
        <v/>
      </c>
      <c r="M114" s="17" t="n"/>
      <c r="N114" s="16" t="n">
        <v>9.638632618999999</v>
      </c>
      <c r="O114" s="6" t="inlineStr">
        <is>
          <t>stop-loss (Alpaca order)</t>
        </is>
      </c>
      <c r="P114" s="15" t="inlineStr">
        <is>
          <t>Alpaca stop order triggered at 122.34 (the stock's sell line)</t>
        </is>
      </c>
      <c r="Q114" s="12" t="n"/>
      <c r="R114" s="6" t="n"/>
      <c r="S114" s="18" t="n"/>
      <c r="T114" s="12" t="n"/>
      <c r="U114" s="19" t="n"/>
      <c r="V114" s="19" t="n"/>
      <c r="W114" s="12" t="n"/>
      <c r="X114" s="6" t="n"/>
      <c r="Y114" s="19" t="n"/>
      <c r="Z114" s="6" t="n"/>
      <c r="AA114" s="12" t="n"/>
      <c r="AB114" s="15" t="n"/>
      <c r="AC114" s="6" t="n"/>
      <c r="AD114" s="6" t="n"/>
      <c r="AE114" s="17" t="n"/>
      <c r="AF114" s="17" t="n"/>
      <c r="AG114" s="17" t="n"/>
      <c r="AH114" s="20" t="n"/>
      <c r="AI114" s="18" t="n"/>
      <c r="AJ114" s="6" t="n"/>
      <c r="AK114" s="12" t="n"/>
      <c r="AL114" s="15" t="n"/>
      <c r="AM114" s="17" t="n"/>
      <c r="AN114" s="19" t="n"/>
      <c r="AO114" s="17" t="n"/>
      <c r="AP114" s="17" t="n"/>
      <c r="AQ114" s="19" t="n"/>
      <c r="AR114" s="16" t="n"/>
      <c r="AS114" s="17" t="n"/>
      <c r="AT114" s="19" t="n"/>
      <c r="AU114" s="6" t="inlineStr">
        <is>
          <t>paper</t>
        </is>
      </c>
      <c r="AV114" s="6" t="inlineStr">
        <is>
          <t>2a1a9111-8f6b-42f5-b73a-345167f1962b</t>
        </is>
      </c>
      <c r="AW114" s="6" t="inlineStr">
        <is>
          <t>tdagent-stop-EBAY-1793300832914</t>
        </is>
      </c>
      <c r="AX114" s="13" t="n">
        <v>46324.79666666667</v>
      </c>
      <c r="AY114" s="13" t="n">
        <v>46324.81039351852</v>
      </c>
      <c r="AZ114" s="13" t="n"/>
      <c r="BA114" s="6" t="n"/>
    </row>
    <row r="115">
      <c r="A115" s="12" t="n">
        <v>114</v>
      </c>
      <c r="B115" s="13" t="n">
        <v>46324.83886574074</v>
      </c>
      <c r="C115" s="13" t="n">
        <v>46324.63053240741</v>
      </c>
      <c r="D115" s="13" t="n">
        <v>46324.79719907408</v>
      </c>
      <c r="E115" s="14" t="inlineStr">
        <is>
          <t>BUY</t>
        </is>
      </c>
      <c r="F115" s="6" t="inlineStr">
        <is>
          <t>MNST</t>
        </is>
      </c>
      <c r="G115" s="15" t="inlineStr">
        <is>
          <t>Monster Beverage Corporation</t>
        </is>
      </c>
      <c r="H115" s="6" t="inlineStr">
        <is>
          <t>NASDAQ</t>
        </is>
      </c>
      <c r="I115" s="6" t="inlineStr">
        <is>
          <t>filled</t>
        </is>
      </c>
      <c r="J115" s="16" t="n">
        <v>41.930066911</v>
      </c>
      <c r="K115" s="17" t="n">
        <v>46.33</v>
      </c>
      <c r="L115" s="17">
        <f>IF(AND(ISNUMBER(J115),ISNUMBER(K115)),J115*K115,"")</f>
        <v/>
      </c>
      <c r="M115" s="17" t="n">
        <v>1942.63</v>
      </c>
      <c r="N115" s="16" t="n"/>
      <c r="O115" s="6" t="inlineStr">
        <is>
          <t>4+/5 green</t>
        </is>
      </c>
      <c r="P115" s="15" t="inlineStr">
        <is>
          <t>4 of 5 green, time machine green, rank #5, 8.33% of the $23,320.90 free cash split 12 ways</t>
        </is>
      </c>
      <c r="Q115" s="12" t="n">
        <v>4</v>
      </c>
      <c r="R115" s="6" t="inlineStr">
        <is>
          <t>ok</t>
        </is>
      </c>
      <c r="S115" s="18" t="n">
        <v>0.652</v>
      </c>
      <c r="T115" s="12" t="n">
        <v>89</v>
      </c>
      <c r="U115" s="19" t="n">
        <v>0.0089</v>
      </c>
      <c r="V115" s="19" t="n">
        <v>0.2893</v>
      </c>
      <c r="W115" s="12" t="n">
        <v>5</v>
      </c>
      <c r="X115" s="6" t="inlineStr">
        <is>
          <t>ok</t>
        </is>
      </c>
      <c r="Y115" s="19" t="n">
        <v>0.0002</v>
      </c>
      <c r="Z115" s="6" t="inlineStr">
        <is>
          <t>ok</t>
        </is>
      </c>
      <c r="AA115" s="12" t="n">
        <v>100</v>
      </c>
      <c r="AB115" s="15" t="n"/>
      <c r="AC115" s="6" t="inlineStr">
        <is>
          <t>ok</t>
        </is>
      </c>
      <c r="AD115" s="6" t="inlineStr">
        <is>
          <t>up</t>
        </is>
      </c>
      <c r="AE115" s="17" t="n">
        <v>46.9591</v>
      </c>
      <c r="AF115" s="17" t="n">
        <v>45.3364</v>
      </c>
      <c r="AG115" s="17" t="n">
        <v>48.5818</v>
      </c>
      <c r="AH115" s="20" t="n">
        <v>46331</v>
      </c>
      <c r="AI115" s="18" t="n">
        <v>0.53</v>
      </c>
      <c r="AJ115" s="6" t="inlineStr">
        <is>
          <t>watch</t>
        </is>
      </c>
      <c r="AK115" s="12" t="n">
        <v>1</v>
      </c>
      <c r="AL115" s="15" t="inlineStr">
        <is>
          <t>Monster Beverage Corporation Announces Third Quarter 2026 Earnings Release Date</t>
        </is>
      </c>
      <c r="AM115" s="17" t="n">
        <v>46.32</v>
      </c>
      <c r="AN115" s="19" t="n">
        <v>0.014</v>
      </c>
      <c r="AO115" s="17" t="n">
        <v>99455.06</v>
      </c>
      <c r="AP115" s="17" t="n">
        <v>23320.9</v>
      </c>
      <c r="AQ115" s="19" t="n">
        <v>0.0833</v>
      </c>
      <c r="AR115" s="16" t="n"/>
      <c r="AS115" s="17" t="n"/>
      <c r="AT115" s="19" t="n"/>
      <c r="AU115" s="6" t="inlineStr">
        <is>
          <t>paper</t>
        </is>
      </c>
      <c r="AV115" s="6" t="inlineStr">
        <is>
          <t>3e9a5e35-8f69-42ac-88d5-32689c3ef2c2</t>
        </is>
      </c>
      <c r="AW115" s="6" t="inlineStr">
        <is>
          <t>tdagent-buy-MNST-1793300877596</t>
        </is>
      </c>
      <c r="AX115" s="13" t="n">
        <v>46324.7971875</v>
      </c>
      <c r="AY115" s="13" t="n">
        <v>46324.79719907408</v>
      </c>
      <c r="AZ115" s="13" t="n">
        <v>46324.79684027778</v>
      </c>
      <c r="BA115" s="6" t="n"/>
    </row>
    <row r="116">
      <c r="A116" s="12" t="n">
        <v>115</v>
      </c>
      <c r="B116" s="13" t="n">
        <v>46324.84719907407</v>
      </c>
      <c r="C116" s="13" t="n">
        <v>46324.63886574074</v>
      </c>
      <c r="D116" s="13" t="n">
        <v>46324.80553240741</v>
      </c>
      <c r="E116" s="21" t="inlineStr">
        <is>
          <t>SELL</t>
        </is>
      </c>
      <c r="F116" s="6" t="inlineStr">
        <is>
          <t>XOM</t>
        </is>
      </c>
      <c r="G116" s="15" t="inlineStr">
        <is>
          <t>XOM</t>
        </is>
      </c>
      <c r="H116" s="6" t="inlineStr">
        <is>
          <t>NYSE</t>
        </is>
      </c>
      <c r="I116" s="6" t="inlineStr">
        <is>
          <t>filled</t>
        </is>
      </c>
      <c r="J116" s="16" t="n">
        <v>1.829160247</v>
      </c>
      <c r="K116" s="17" t="n">
        <v>182.77</v>
      </c>
      <c r="L116" s="17">
        <f>IF(AND(ISNUMBER(J116),ISNUMBER(K116)),J116*K116,"")</f>
        <v/>
      </c>
      <c r="M116" s="17" t="n"/>
      <c r="N116" s="16" t="n">
        <v>1.829160247</v>
      </c>
      <c r="O116" s="6" t="inlineStr">
        <is>
          <t>2 or fewer green</t>
        </is>
      </c>
      <c r="P116" s="15" t="inlineStr">
        <is>
          <t>Only 2 of 5 green</t>
        </is>
      </c>
      <c r="Q116" s="12" t="n">
        <v>2</v>
      </c>
      <c r="R116" s="6" t="inlineStr">
        <is>
          <t>ok</t>
        </is>
      </c>
      <c r="S116" s="18" t="n">
        <v>0.624</v>
      </c>
      <c r="T116" s="12" t="n">
        <v>93</v>
      </c>
      <c r="U116" s="19" t="n">
        <v>0.0119</v>
      </c>
      <c r="V116" s="19" t="n">
        <v>0.2893</v>
      </c>
      <c r="W116" s="12" t="n"/>
      <c r="X116" s="6" t="inlineStr">
        <is>
          <t>watch</t>
        </is>
      </c>
      <c r="Y116" s="19" t="n">
        <v>0.008</v>
      </c>
      <c r="Z116" s="6" t="inlineStr">
        <is>
          <t>ok</t>
        </is>
      </c>
      <c r="AA116" s="12" t="n">
        <v>100</v>
      </c>
      <c r="AB116" s="15" t="n"/>
      <c r="AC116" s="6" t="inlineStr">
        <is>
          <t>watch</t>
        </is>
      </c>
      <c r="AD116" s="6" t="inlineStr">
        <is>
          <t>flat</t>
        </is>
      </c>
      <c r="AE116" s="17" t="n">
        <v>182.76</v>
      </c>
      <c r="AF116" s="17" t="n">
        <v>176.5879</v>
      </c>
      <c r="AG116" s="17" t="n">
        <v>188.9321</v>
      </c>
      <c r="AH116" s="20" t="n">
        <v>46331</v>
      </c>
      <c r="AI116" s="18" t="n">
        <v>0.5</v>
      </c>
      <c r="AJ116" s="6" t="inlineStr">
        <is>
          <t>watch</t>
        </is>
      </c>
      <c r="AK116" s="12" t="n">
        <v>8</v>
      </c>
      <c r="AL116" s="15" t="inlineStr">
        <is>
          <t>Exxon Mobil and Citgo Petroleum Acquire Venezuelan Crude Oil Shipment</t>
        </is>
      </c>
      <c r="AM116" s="17" t="n">
        <v>182.76</v>
      </c>
      <c r="AN116" s="19" t="n">
        <v>0.0037</v>
      </c>
      <c r="AO116" s="17" t="n">
        <v>99423.74000000001</v>
      </c>
      <c r="AP116" s="17" t="n">
        <v>21378.28</v>
      </c>
      <c r="AQ116" s="19" t="n">
        <v>0.0833</v>
      </c>
      <c r="AR116" s="16" t="n">
        <v>1.829160247</v>
      </c>
      <c r="AS116" s="17" t="n">
        <v>181.72</v>
      </c>
      <c r="AT116" s="19" t="n">
        <v>0.0059</v>
      </c>
      <c r="AU116" s="6" t="inlineStr">
        <is>
          <t>paper</t>
        </is>
      </c>
      <c r="AV116" s="6" t="inlineStr">
        <is>
          <t>c5433a9a-d16b-46fa-9feb-760487f14491</t>
        </is>
      </c>
      <c r="AW116" s="6" t="inlineStr">
        <is>
          <t>tdagent-sell-XOM-1793301597035</t>
        </is>
      </c>
      <c r="AX116" s="13" t="n">
        <v>46324.80552083333</v>
      </c>
      <c r="AY116" s="13" t="n">
        <v>46324.80553240741</v>
      </c>
      <c r="AZ116" s="13" t="n">
        <v>46324.80516203704</v>
      </c>
      <c r="BA116" s="6" t="n"/>
    </row>
    <row r="117">
      <c r="A117" s="12" t="n">
        <v>116</v>
      </c>
      <c r="B117" s="13" t="n">
        <v>46324.8543287037</v>
      </c>
      <c r="C117" s="13" t="n">
        <v>46324.64599537037</v>
      </c>
      <c r="D117" s="13" t="n">
        <v>46324.81266203704</v>
      </c>
      <c r="E117" s="21" t="inlineStr">
        <is>
          <t>SELL</t>
        </is>
      </c>
      <c r="F117" s="6" t="inlineStr">
        <is>
          <t>ABBV</t>
        </is>
      </c>
      <c r="G117" s="15" t="n"/>
      <c r="H117" s="6" t="n"/>
      <c r="I117" s="6" t="inlineStr">
        <is>
          <t>filled</t>
        </is>
      </c>
      <c r="J117" s="16" t="n">
        <v>2.290483737</v>
      </c>
      <c r="K117" s="17" t="n">
        <v>289.706195</v>
      </c>
      <c r="L117" s="17">
        <f>IF(AND(ISNUMBER(J117),ISNUMBER(K117)),J117*K117,"")</f>
        <v/>
      </c>
      <c r="M117" s="17" t="n"/>
      <c r="N117" s="16" t="n">
        <v>2.290483737</v>
      </c>
      <c r="O117" s="6" t="inlineStr">
        <is>
          <t>evening under 5% (watchdog)</t>
        </is>
      </c>
      <c r="P117" s="15" t="inlineStr">
        <is>
          <t>Every-minute watchdog: evening rule, under +5% before the close</t>
        </is>
      </c>
      <c r="Q117" s="12" t="n"/>
      <c r="R117" s="6" t="n"/>
      <c r="S117" s="18" t="n"/>
      <c r="T117" s="12" t="n"/>
      <c r="U117" s="19" t="n"/>
      <c r="V117" s="19" t="n"/>
      <c r="W117" s="12" t="n"/>
      <c r="X117" s="6" t="n"/>
      <c r="Y117" s="19" t="n"/>
      <c r="Z117" s="6" t="n"/>
      <c r="AA117" s="12" t="n"/>
      <c r="AB117" s="15" t="n"/>
      <c r="AC117" s="6" t="n"/>
      <c r="AD117" s="6" t="n"/>
      <c r="AE117" s="17" t="n"/>
      <c r="AF117" s="17" t="n"/>
      <c r="AG117" s="17" t="n"/>
      <c r="AH117" s="20" t="n"/>
      <c r="AI117" s="18" t="n"/>
      <c r="AJ117" s="6" t="n"/>
      <c r="AK117" s="12" t="n"/>
      <c r="AL117" s="15" t="n"/>
      <c r="AM117" s="17" t="n"/>
      <c r="AN117" s="19" t="n"/>
      <c r="AO117" s="17" t="n"/>
      <c r="AP117" s="17" t="n"/>
      <c r="AQ117" s="19" t="n"/>
      <c r="AR117" s="16" t="n"/>
      <c r="AS117" s="17" t="n"/>
      <c r="AT117" s="19" t="n"/>
      <c r="AU117" s="6" t="inlineStr">
        <is>
          <t>paper</t>
        </is>
      </c>
      <c r="AV117" s="6" t="inlineStr">
        <is>
          <t>5c44e124-3b8e-49c8-8288-d302ffa068d2</t>
        </is>
      </c>
      <c r="AW117" s="6" t="inlineStr">
        <is>
          <t>tdagent-wd-evening-ABBV-1793302212504</t>
        </is>
      </c>
      <c r="AX117" s="13" t="n">
        <v>46324.81263888889</v>
      </c>
      <c r="AY117" s="13" t="n">
        <v>46324.81266203704</v>
      </c>
      <c r="AZ117" s="13" t="n"/>
      <c r="BA117" s="6" t="n"/>
    </row>
    <row r="118">
      <c r="A118" s="12" t="n">
        <v>117</v>
      </c>
      <c r="B118" s="13" t="n">
        <v>46324.85434027778</v>
      </c>
      <c r="C118" s="13" t="n">
        <v>46324.64600694444</v>
      </c>
      <c r="D118" s="13" t="n">
        <v>46324.81267361111</v>
      </c>
      <c r="E118" s="21" t="inlineStr">
        <is>
          <t>SELL</t>
        </is>
      </c>
      <c r="F118" s="6" t="inlineStr">
        <is>
          <t>ACN</t>
        </is>
      </c>
      <c r="G118" s="15" t="n"/>
      <c r="H118" s="6" t="n"/>
      <c r="I118" s="6" t="inlineStr">
        <is>
          <t>filled</t>
        </is>
      </c>
      <c r="J118" s="16" t="n">
        <v>1.363168471</v>
      </c>
      <c r="K118" s="17" t="n">
        <v>245.64</v>
      </c>
      <c r="L118" s="17">
        <f>IF(AND(ISNUMBER(J118),ISNUMBER(K118)),J118*K118,"")</f>
        <v/>
      </c>
      <c r="M118" s="17" t="n"/>
      <c r="N118" s="16" t="n">
        <v>1.363168471</v>
      </c>
      <c r="O118" s="6" t="inlineStr">
        <is>
          <t>evening under 5% (watchdog)</t>
        </is>
      </c>
      <c r="P118" s="15" t="inlineStr">
        <is>
          <t>Every-minute watchdog: evening rule, under +5% before the close</t>
        </is>
      </c>
      <c r="Q118" s="12" t="n"/>
      <c r="R118" s="6" t="n"/>
      <c r="S118" s="18" t="n"/>
      <c r="T118" s="12" t="n"/>
      <c r="U118" s="19" t="n"/>
      <c r="V118" s="19" t="n"/>
      <c r="W118" s="12" t="n"/>
      <c r="X118" s="6" t="n"/>
      <c r="Y118" s="19" t="n"/>
      <c r="Z118" s="6" t="n"/>
      <c r="AA118" s="12" t="n"/>
      <c r="AB118" s="15" t="n"/>
      <c r="AC118" s="6" t="n"/>
      <c r="AD118" s="6" t="n"/>
      <c r="AE118" s="17" t="n"/>
      <c r="AF118" s="17" t="n"/>
      <c r="AG118" s="17" t="n"/>
      <c r="AH118" s="20" t="n"/>
      <c r="AI118" s="18" t="n"/>
      <c r="AJ118" s="6" t="n"/>
      <c r="AK118" s="12" t="n"/>
      <c r="AL118" s="15" t="n"/>
      <c r="AM118" s="17" t="n"/>
      <c r="AN118" s="19" t="n"/>
      <c r="AO118" s="17" t="n"/>
      <c r="AP118" s="17" t="n"/>
      <c r="AQ118" s="19" t="n"/>
      <c r="AR118" s="16" t="n"/>
      <c r="AS118" s="17" t="n"/>
      <c r="AT118" s="19" t="n"/>
      <c r="AU118" s="6" t="inlineStr">
        <is>
          <t>paper</t>
        </is>
      </c>
      <c r="AV118" s="6" t="inlineStr">
        <is>
          <t>e708708c-b448-43a6-ae40-8b7efa5b803b</t>
        </is>
      </c>
      <c r="AW118" s="6" t="inlineStr">
        <is>
          <t>tdagent-wd-evening-ACN-1793302213623</t>
        </is>
      </c>
      <c r="AX118" s="13" t="n">
        <v>46324.81265046296</v>
      </c>
      <c r="AY118" s="13" t="n">
        <v>46324.81267361111</v>
      </c>
      <c r="AZ118" s="13" t="n"/>
      <c r="BA118" s="6" t="n"/>
    </row>
    <row r="119">
      <c r="A119" s="12" t="n">
        <v>118</v>
      </c>
      <c r="B119" s="13" t="n">
        <v>46324.85439814815</v>
      </c>
      <c r="C119" s="13" t="n">
        <v>46324.64606481481</v>
      </c>
      <c r="D119" s="13" t="n">
        <v>46324.81273148148</v>
      </c>
      <c r="E119" s="21" t="inlineStr">
        <is>
          <t>SELL</t>
        </is>
      </c>
      <c r="F119" s="6" t="inlineStr">
        <is>
          <t>ADI</t>
        </is>
      </c>
      <c r="G119" s="15" t="n"/>
      <c r="H119" s="6" t="n"/>
      <c r="I119" s="6" t="inlineStr">
        <is>
          <t>filled</t>
        </is>
      </c>
      <c r="J119" s="16" t="n">
        <v>19.536817436</v>
      </c>
      <c r="K119" s="17" t="n">
        <v>431.109505</v>
      </c>
      <c r="L119" s="17">
        <f>IF(AND(ISNUMBER(J119),ISNUMBER(K119)),J119*K119,"")</f>
        <v/>
      </c>
      <c r="M119" s="17" t="n"/>
      <c r="N119" s="16" t="n">
        <v>19.536817436</v>
      </c>
      <c r="O119" s="6" t="inlineStr">
        <is>
          <t>evening under 5% (watchdog)</t>
        </is>
      </c>
      <c r="P119" s="15" t="inlineStr">
        <is>
          <t>Every-minute watchdog: evening rule, under +5% before the close</t>
        </is>
      </c>
      <c r="Q119" s="12" t="n"/>
      <c r="R119" s="6" t="n"/>
      <c r="S119" s="18" t="n"/>
      <c r="T119" s="12" t="n"/>
      <c r="U119" s="19" t="n"/>
      <c r="V119" s="19" t="n"/>
      <c r="W119" s="12" t="n"/>
      <c r="X119" s="6" t="n"/>
      <c r="Y119" s="19" t="n"/>
      <c r="Z119" s="6" t="n"/>
      <c r="AA119" s="12" t="n"/>
      <c r="AB119" s="15" t="n"/>
      <c r="AC119" s="6" t="n"/>
      <c r="AD119" s="6" t="n"/>
      <c r="AE119" s="17" t="n"/>
      <c r="AF119" s="17" t="n"/>
      <c r="AG119" s="17" t="n"/>
      <c r="AH119" s="20" t="n"/>
      <c r="AI119" s="18" t="n"/>
      <c r="AJ119" s="6" t="n"/>
      <c r="AK119" s="12" t="n"/>
      <c r="AL119" s="15" t="n"/>
      <c r="AM119" s="17" t="n"/>
      <c r="AN119" s="19" t="n"/>
      <c r="AO119" s="17" t="n"/>
      <c r="AP119" s="17" t="n"/>
      <c r="AQ119" s="19" t="n"/>
      <c r="AR119" s="16" t="n"/>
      <c r="AS119" s="17" t="n"/>
      <c r="AT119" s="19" t="n"/>
      <c r="AU119" s="6" t="inlineStr">
        <is>
          <t>paper</t>
        </is>
      </c>
      <c r="AV119" s="6" t="inlineStr">
        <is>
          <t>91005add-93e1-43d8-a728-f2cf72ff6f9e</t>
        </is>
      </c>
      <c r="AW119" s="6" t="inlineStr">
        <is>
          <t>tdagent-wd-evening-ADI-1793302214716</t>
        </is>
      </c>
      <c r="AX119" s="13" t="n">
        <v>46324.81266203704</v>
      </c>
      <c r="AY119" s="13" t="n">
        <v>46324.81273148148</v>
      </c>
      <c r="AZ119" s="13" t="n"/>
      <c r="BA119" s="6" t="n"/>
    </row>
    <row r="120">
      <c r="A120" s="12" t="n">
        <v>119</v>
      </c>
      <c r="B120" s="13" t="n">
        <v>46324.8544212963</v>
      </c>
      <c r="C120" s="13" t="n">
        <v>46324.64608796296</v>
      </c>
      <c r="D120" s="13" t="n">
        <v>46324.81275462963</v>
      </c>
      <c r="E120" s="21" t="inlineStr">
        <is>
          <t>SELL</t>
        </is>
      </c>
      <c r="F120" s="6" t="inlineStr">
        <is>
          <t>ADP</t>
        </is>
      </c>
      <c r="G120" s="15" t="n"/>
      <c r="H120" s="6" t="n"/>
      <c r="I120" s="6" t="inlineStr">
        <is>
          <t>filled</t>
        </is>
      </c>
      <c r="J120" s="16" t="n">
        <v>28.879753624</v>
      </c>
      <c r="K120" s="17" t="n">
        <v>285.89</v>
      </c>
      <c r="L120" s="17">
        <f>IF(AND(ISNUMBER(J120),ISNUMBER(K120)),J120*K120,"")</f>
        <v/>
      </c>
      <c r="M120" s="17" t="n"/>
      <c r="N120" s="16" t="n">
        <v>28.879753624</v>
      </c>
      <c r="O120" s="6" t="inlineStr">
        <is>
          <t>evening under 5% (watchdog)</t>
        </is>
      </c>
      <c r="P120" s="15" t="inlineStr">
        <is>
          <t>Every-minute watchdog: evening rule, under +5% before the close</t>
        </is>
      </c>
      <c r="Q120" s="12" t="n"/>
      <c r="R120" s="6" t="n"/>
      <c r="S120" s="18" t="n"/>
      <c r="T120" s="12" t="n"/>
      <c r="U120" s="19" t="n"/>
      <c r="V120" s="19" t="n"/>
      <c r="W120" s="12" t="n"/>
      <c r="X120" s="6" t="n"/>
      <c r="Y120" s="19" t="n"/>
      <c r="Z120" s="6" t="n"/>
      <c r="AA120" s="12" t="n"/>
      <c r="AB120" s="15" t="n"/>
      <c r="AC120" s="6" t="n"/>
      <c r="AD120" s="6" t="n"/>
      <c r="AE120" s="17" t="n"/>
      <c r="AF120" s="17" t="n"/>
      <c r="AG120" s="17" t="n"/>
      <c r="AH120" s="20" t="n"/>
      <c r="AI120" s="18" t="n"/>
      <c r="AJ120" s="6" t="n"/>
      <c r="AK120" s="12" t="n"/>
      <c r="AL120" s="15" t="n"/>
      <c r="AM120" s="17" t="n"/>
      <c r="AN120" s="19" t="n"/>
      <c r="AO120" s="17" t="n"/>
      <c r="AP120" s="17" t="n"/>
      <c r="AQ120" s="19" t="n"/>
      <c r="AR120" s="16" t="n"/>
      <c r="AS120" s="17" t="n"/>
      <c r="AT120" s="19" t="n"/>
      <c r="AU120" s="6" t="inlineStr">
        <is>
          <t>paper</t>
        </is>
      </c>
      <c r="AV120" s="6" t="inlineStr">
        <is>
          <t>47489b81-e334-43f3-84f4-044d35788923</t>
        </is>
      </c>
      <c r="AW120" s="6" t="inlineStr">
        <is>
          <t>tdagent-wd-evening-ADP-1793302215802</t>
        </is>
      </c>
      <c r="AX120" s="13" t="n">
        <v>46324.81267361111</v>
      </c>
      <c r="AY120" s="13" t="n">
        <v>46324.81275462963</v>
      </c>
      <c r="AZ120" s="13" t="n"/>
      <c r="BA120" s="6" t="n"/>
    </row>
    <row r="121">
      <c r="A121" s="12" t="n">
        <v>120</v>
      </c>
      <c r="B121" s="13" t="n">
        <v>46324.85438657407</v>
      </c>
      <c r="C121" s="13" t="n">
        <v>46324.64605324074</v>
      </c>
      <c r="D121" s="13" t="n">
        <v>46324.81271990741</v>
      </c>
      <c r="E121" s="21" t="inlineStr">
        <is>
          <t>SELL</t>
        </is>
      </c>
      <c r="F121" s="6" t="inlineStr">
        <is>
          <t>DT</t>
        </is>
      </c>
      <c r="G121" s="15" t="n"/>
      <c r="H121" s="6" t="n"/>
      <c r="I121" s="6" t="inlineStr">
        <is>
          <t>filled</t>
        </is>
      </c>
      <c r="J121" s="16" t="n">
        <v>10.943045267</v>
      </c>
      <c r="K121" s="17" t="n">
        <v>60.63</v>
      </c>
      <c r="L121" s="17">
        <f>IF(AND(ISNUMBER(J121),ISNUMBER(K121)),J121*K121,"")</f>
        <v/>
      </c>
      <c r="M121" s="17" t="n"/>
      <c r="N121" s="16" t="n">
        <v>10.943045267</v>
      </c>
      <c r="O121" s="6" t="inlineStr">
        <is>
          <t>evening under 5% (watchdog)</t>
        </is>
      </c>
      <c r="P121" s="15" t="inlineStr">
        <is>
          <t>Every-minute watchdog: evening rule, under +5% before the close</t>
        </is>
      </c>
      <c r="Q121" s="12" t="n"/>
      <c r="R121" s="6" t="n"/>
      <c r="S121" s="18" t="n"/>
      <c r="T121" s="12" t="n"/>
      <c r="U121" s="19" t="n"/>
      <c r="V121" s="19" t="n"/>
      <c r="W121" s="12" t="n"/>
      <c r="X121" s="6" t="n"/>
      <c r="Y121" s="19" t="n"/>
      <c r="Z121" s="6" t="n"/>
      <c r="AA121" s="12" t="n"/>
      <c r="AB121" s="15" t="n"/>
      <c r="AC121" s="6" t="n"/>
      <c r="AD121" s="6" t="n"/>
      <c r="AE121" s="17" t="n"/>
      <c r="AF121" s="17" t="n"/>
      <c r="AG121" s="17" t="n"/>
      <c r="AH121" s="20" t="n"/>
      <c r="AI121" s="18" t="n"/>
      <c r="AJ121" s="6" t="n"/>
      <c r="AK121" s="12" t="n"/>
      <c r="AL121" s="15" t="n"/>
      <c r="AM121" s="17" t="n"/>
      <c r="AN121" s="19" t="n"/>
      <c r="AO121" s="17" t="n"/>
      <c r="AP121" s="17" t="n"/>
      <c r="AQ121" s="19" t="n"/>
      <c r="AR121" s="16" t="n"/>
      <c r="AS121" s="17" t="n"/>
      <c r="AT121" s="19" t="n"/>
      <c r="AU121" s="6" t="inlineStr">
        <is>
          <t>paper</t>
        </is>
      </c>
      <c r="AV121" s="6" t="inlineStr">
        <is>
          <t>70826b79-984c-44eb-99b9-5aa87a6349f8</t>
        </is>
      </c>
      <c r="AW121" s="6" t="inlineStr">
        <is>
          <t>tdagent-wd-evening-DT-1793302216891</t>
        </is>
      </c>
      <c r="AX121" s="13" t="n">
        <v>46324.81268518518</v>
      </c>
      <c r="AY121" s="13" t="n">
        <v>46324.81271990741</v>
      </c>
      <c r="AZ121" s="13" t="n"/>
      <c r="BA121" s="6" t="n"/>
    </row>
    <row r="122">
      <c r="A122" s="12" t="n">
        <v>121</v>
      </c>
      <c r="B122" s="13" t="n">
        <v>46324.85438657407</v>
      </c>
      <c r="C122" s="13" t="n">
        <v>46324.64605324074</v>
      </c>
      <c r="D122" s="13" t="n">
        <v>46324.81271990741</v>
      </c>
      <c r="E122" s="21" t="inlineStr">
        <is>
          <t>SELL</t>
        </is>
      </c>
      <c r="F122" s="6" t="inlineStr">
        <is>
          <t>DUK</t>
        </is>
      </c>
      <c r="G122" s="15" t="n"/>
      <c r="H122" s="6" t="n"/>
      <c r="I122" s="6" t="inlineStr">
        <is>
          <t>filled</t>
        </is>
      </c>
      <c r="J122" s="16" t="n">
        <v>5.287020836</v>
      </c>
      <c r="K122" s="17" t="n">
        <v>125.812435</v>
      </c>
      <c r="L122" s="17">
        <f>IF(AND(ISNUMBER(J122),ISNUMBER(K122)),J122*K122,"")</f>
        <v/>
      </c>
      <c r="M122" s="17" t="n"/>
      <c r="N122" s="16" t="n">
        <v>5.287020836</v>
      </c>
      <c r="O122" s="6" t="inlineStr">
        <is>
          <t>evening under 5% (watchdog)</t>
        </is>
      </c>
      <c r="P122" s="15" t="inlineStr">
        <is>
          <t>Every-minute watchdog: evening rule, under +5% before the close</t>
        </is>
      </c>
      <c r="Q122" s="12" t="n"/>
      <c r="R122" s="6" t="n"/>
      <c r="S122" s="18" t="n"/>
      <c r="T122" s="12" t="n"/>
      <c r="U122" s="19" t="n"/>
      <c r="V122" s="19" t="n"/>
      <c r="W122" s="12" t="n"/>
      <c r="X122" s="6" t="n"/>
      <c r="Y122" s="19" t="n"/>
      <c r="Z122" s="6" t="n"/>
      <c r="AA122" s="12" t="n"/>
      <c r="AB122" s="15" t="n"/>
      <c r="AC122" s="6" t="n"/>
      <c r="AD122" s="6" t="n"/>
      <c r="AE122" s="17" t="n"/>
      <c r="AF122" s="17" t="n"/>
      <c r="AG122" s="17" t="n"/>
      <c r="AH122" s="20" t="n"/>
      <c r="AI122" s="18" t="n"/>
      <c r="AJ122" s="6" t="n"/>
      <c r="AK122" s="12" t="n"/>
      <c r="AL122" s="15" t="n"/>
      <c r="AM122" s="17" t="n"/>
      <c r="AN122" s="19" t="n"/>
      <c r="AO122" s="17" t="n"/>
      <c r="AP122" s="17" t="n"/>
      <c r="AQ122" s="19" t="n"/>
      <c r="AR122" s="16" t="n"/>
      <c r="AS122" s="17" t="n"/>
      <c r="AT122" s="19" t="n"/>
      <c r="AU122" s="6" t="inlineStr">
        <is>
          <t>paper</t>
        </is>
      </c>
      <c r="AV122" s="6" t="inlineStr">
        <is>
          <t>348f6363-619c-4aa1-b358-aaa2b12b49b2</t>
        </is>
      </c>
      <c r="AW122" s="6" t="inlineStr">
        <is>
          <t>tdagent-wd-evening-DUK-1793302218019</t>
        </is>
      </c>
      <c r="AX122" s="13" t="n">
        <v>46324.81270833333</v>
      </c>
      <c r="AY122" s="13" t="n">
        <v>46324.81271990741</v>
      </c>
      <c r="AZ122" s="13" t="n"/>
      <c r="BA122" s="6" t="n"/>
    </row>
    <row r="123">
      <c r="A123" s="12" t="n">
        <v>122</v>
      </c>
      <c r="B123" s="13" t="n">
        <v>46324.85438657407</v>
      </c>
      <c r="C123" s="13" t="n">
        <v>46324.64605324074</v>
      </c>
      <c r="D123" s="13" t="n">
        <v>46324.81271990741</v>
      </c>
      <c r="E123" s="21" t="inlineStr">
        <is>
          <t>SELL</t>
        </is>
      </c>
      <c r="F123" s="6" t="inlineStr">
        <is>
          <t>EQNR</t>
        </is>
      </c>
      <c r="G123" s="15" t="n"/>
      <c r="H123" s="6" t="n"/>
      <c r="I123" s="6" t="inlineStr">
        <is>
          <t>filled</t>
        </is>
      </c>
      <c r="J123" s="16" t="n">
        <v>14.117434699</v>
      </c>
      <c r="K123" s="17" t="n">
        <v>47.39</v>
      </c>
      <c r="L123" s="17">
        <f>IF(AND(ISNUMBER(J123),ISNUMBER(K123)),J123*K123,"")</f>
        <v/>
      </c>
      <c r="M123" s="17" t="n"/>
      <c r="N123" s="16" t="n">
        <v>14.117434699</v>
      </c>
      <c r="O123" s="6" t="inlineStr">
        <is>
          <t>evening under 5% (watchdog)</t>
        </is>
      </c>
      <c r="P123" s="15" t="inlineStr">
        <is>
          <t>Every-minute watchdog: evening rule, under +5% before the close</t>
        </is>
      </c>
      <c r="Q123" s="12" t="n"/>
      <c r="R123" s="6" t="n"/>
      <c r="S123" s="18" t="n"/>
      <c r="T123" s="12" t="n"/>
      <c r="U123" s="19" t="n"/>
      <c r="V123" s="19" t="n"/>
      <c r="W123" s="12" t="n"/>
      <c r="X123" s="6" t="n"/>
      <c r="Y123" s="19" t="n"/>
      <c r="Z123" s="6" t="n"/>
      <c r="AA123" s="12" t="n"/>
      <c r="AB123" s="15" t="n"/>
      <c r="AC123" s="6" t="n"/>
      <c r="AD123" s="6" t="n"/>
      <c r="AE123" s="17" t="n"/>
      <c r="AF123" s="17" t="n"/>
      <c r="AG123" s="17" t="n"/>
      <c r="AH123" s="20" t="n"/>
      <c r="AI123" s="18" t="n"/>
      <c r="AJ123" s="6" t="n"/>
      <c r="AK123" s="12" t="n"/>
      <c r="AL123" s="15" t="n"/>
      <c r="AM123" s="17" t="n"/>
      <c r="AN123" s="19" t="n"/>
      <c r="AO123" s="17" t="n"/>
      <c r="AP123" s="17" t="n"/>
      <c r="AQ123" s="19" t="n"/>
      <c r="AR123" s="16" t="n"/>
      <c r="AS123" s="17" t="n"/>
      <c r="AT123" s="19" t="n"/>
      <c r="AU123" s="6" t="inlineStr">
        <is>
          <t>paper</t>
        </is>
      </c>
      <c r="AV123" s="6" t="inlineStr">
        <is>
          <t>6ad8f539-215e-4c7d-a884-078aac8ed06e</t>
        </is>
      </c>
      <c r="AW123" s="6" t="inlineStr">
        <is>
          <t>tdagent-wd-evening-EQNR-1793302219116</t>
        </is>
      </c>
      <c r="AX123" s="13" t="n">
        <v>46324.81271990741</v>
      </c>
      <c r="AY123" s="13" t="n">
        <v>46324.81271990741</v>
      </c>
      <c r="AZ123" s="13" t="n"/>
      <c r="BA123" s="6" t="n"/>
    </row>
    <row r="124">
      <c r="A124" s="12" t="n">
        <v>123</v>
      </c>
      <c r="B124" s="13" t="n">
        <v>46324.85445601852</v>
      </c>
      <c r="C124" s="13" t="n">
        <v>46324.64612268518</v>
      </c>
      <c r="D124" s="13" t="n">
        <v>46324.81278935185</v>
      </c>
      <c r="E124" s="21" t="inlineStr">
        <is>
          <t>SELL</t>
        </is>
      </c>
      <c r="F124" s="6" t="inlineStr">
        <is>
          <t>IQV</t>
        </is>
      </c>
      <c r="G124" s="15" t="n"/>
      <c r="H124" s="6" t="n"/>
      <c r="I124" s="6" t="inlineStr">
        <is>
          <t>filled</t>
        </is>
      </c>
      <c r="J124" s="16" t="n">
        <v>30.075531531</v>
      </c>
      <c r="K124" s="17" t="n">
        <v>273.44</v>
      </c>
      <c r="L124" s="17">
        <f>IF(AND(ISNUMBER(J124),ISNUMBER(K124)),J124*K124,"")</f>
        <v/>
      </c>
      <c r="M124" s="17" t="n"/>
      <c r="N124" s="16" t="n">
        <v>30.075531531</v>
      </c>
      <c r="O124" s="6" t="inlineStr">
        <is>
          <t>evening under 5% (watchdog)</t>
        </is>
      </c>
      <c r="P124" s="15" t="inlineStr">
        <is>
          <t>Every-minute watchdog: evening rule, under +5% before the close</t>
        </is>
      </c>
      <c r="Q124" s="12" t="n"/>
      <c r="R124" s="6" t="n"/>
      <c r="S124" s="18" t="n"/>
      <c r="T124" s="12" t="n"/>
      <c r="U124" s="19" t="n"/>
      <c r="V124" s="19" t="n"/>
      <c r="W124" s="12" t="n"/>
      <c r="X124" s="6" t="n"/>
      <c r="Y124" s="19" t="n"/>
      <c r="Z124" s="6" t="n"/>
      <c r="AA124" s="12" t="n"/>
      <c r="AB124" s="15" t="n"/>
      <c r="AC124" s="6" t="n"/>
      <c r="AD124" s="6" t="n"/>
      <c r="AE124" s="17" t="n"/>
      <c r="AF124" s="17" t="n"/>
      <c r="AG124" s="17" t="n"/>
      <c r="AH124" s="20" t="n"/>
      <c r="AI124" s="18" t="n"/>
      <c r="AJ124" s="6" t="n"/>
      <c r="AK124" s="12" t="n"/>
      <c r="AL124" s="15" t="n"/>
      <c r="AM124" s="17" t="n"/>
      <c r="AN124" s="19" t="n"/>
      <c r="AO124" s="17" t="n"/>
      <c r="AP124" s="17" t="n"/>
      <c r="AQ124" s="19" t="n"/>
      <c r="AR124" s="16" t="n"/>
      <c r="AS124" s="17" t="n"/>
      <c r="AT124" s="19" t="n"/>
      <c r="AU124" s="6" t="inlineStr">
        <is>
          <t>paper</t>
        </is>
      </c>
      <c r="AV124" s="6" t="inlineStr">
        <is>
          <t>f5de0c37-168f-4a39-a590-8f5f3a72ee8e</t>
        </is>
      </c>
      <c r="AW124" s="6" t="inlineStr">
        <is>
          <t>tdagent-wd-evening-IQV-1793302220210</t>
        </is>
      </c>
      <c r="AX124" s="13" t="n">
        <v>46324.81273148148</v>
      </c>
      <c r="AY124" s="13" t="n">
        <v>46324.81278935185</v>
      </c>
      <c r="AZ124" s="13" t="n"/>
      <c r="BA124" s="6" t="n"/>
    </row>
    <row r="125">
      <c r="A125" s="12" t="n">
        <v>124</v>
      </c>
      <c r="B125" s="13" t="n">
        <v>46324.8544212963</v>
      </c>
      <c r="C125" s="13" t="n">
        <v>46324.64608796296</v>
      </c>
      <c r="D125" s="13" t="n">
        <v>46324.81275462963</v>
      </c>
      <c r="E125" s="21" t="inlineStr">
        <is>
          <t>SELL</t>
        </is>
      </c>
      <c r="F125" s="6" t="inlineStr">
        <is>
          <t>ISRG</t>
        </is>
      </c>
      <c r="G125" s="15" t="n"/>
      <c r="H125" s="6" t="n"/>
      <c r="I125" s="6" t="inlineStr">
        <is>
          <t>filled</t>
        </is>
      </c>
      <c r="J125" s="16" t="n">
        <v>18.645716072</v>
      </c>
      <c r="K125" s="17" t="n">
        <v>447.605811</v>
      </c>
      <c r="L125" s="17">
        <f>IF(AND(ISNUMBER(J125),ISNUMBER(K125)),J125*K125,"")</f>
        <v/>
      </c>
      <c r="M125" s="17" t="n"/>
      <c r="N125" s="16" t="n">
        <v>18.645716072</v>
      </c>
      <c r="O125" s="6" t="inlineStr">
        <is>
          <t>evening under 5% (watchdog)</t>
        </is>
      </c>
      <c r="P125" s="15" t="inlineStr">
        <is>
          <t>Every-minute watchdog: evening rule, under +5% before the close</t>
        </is>
      </c>
      <c r="Q125" s="12" t="n"/>
      <c r="R125" s="6" t="n"/>
      <c r="S125" s="18" t="n"/>
      <c r="T125" s="12" t="n"/>
      <c r="U125" s="19" t="n"/>
      <c r="V125" s="19" t="n"/>
      <c r="W125" s="12" t="n"/>
      <c r="X125" s="6" t="n"/>
      <c r="Y125" s="19" t="n"/>
      <c r="Z125" s="6" t="n"/>
      <c r="AA125" s="12" t="n"/>
      <c r="AB125" s="15" t="n"/>
      <c r="AC125" s="6" t="n"/>
      <c r="AD125" s="6" t="n"/>
      <c r="AE125" s="17" t="n"/>
      <c r="AF125" s="17" t="n"/>
      <c r="AG125" s="17" t="n"/>
      <c r="AH125" s="20" t="n"/>
      <c r="AI125" s="18" t="n"/>
      <c r="AJ125" s="6" t="n"/>
      <c r="AK125" s="12" t="n"/>
      <c r="AL125" s="15" t="n"/>
      <c r="AM125" s="17" t="n"/>
      <c r="AN125" s="19" t="n"/>
      <c r="AO125" s="17" t="n"/>
      <c r="AP125" s="17" t="n"/>
      <c r="AQ125" s="19" t="n"/>
      <c r="AR125" s="16" t="n"/>
      <c r="AS125" s="17" t="n"/>
      <c r="AT125" s="19" t="n"/>
      <c r="AU125" s="6" t="inlineStr">
        <is>
          <t>paper</t>
        </is>
      </c>
      <c r="AV125" s="6" t="inlineStr">
        <is>
          <t>791db3a1-fc31-49d0-a38c-66748711cab6</t>
        </is>
      </c>
      <c r="AW125" s="6" t="inlineStr">
        <is>
          <t>tdagent-wd-evening-ISRG-1793302221336</t>
        </is>
      </c>
      <c r="AX125" s="13" t="n">
        <v>46324.81274305555</v>
      </c>
      <c r="AY125" s="13" t="n">
        <v>46324.81275462963</v>
      </c>
      <c r="AZ125" s="13" t="n"/>
      <c r="BA125" s="6" t="n"/>
    </row>
    <row r="126">
      <c r="A126" s="12" t="n">
        <v>125</v>
      </c>
      <c r="B126" s="13" t="n">
        <v>46324.85443287037</v>
      </c>
      <c r="C126" s="13" t="n">
        <v>46324.64609953704</v>
      </c>
      <c r="D126" s="13" t="n">
        <v>46324.8127662037</v>
      </c>
      <c r="E126" s="21" t="inlineStr">
        <is>
          <t>SELL</t>
        </is>
      </c>
      <c r="F126" s="6" t="inlineStr">
        <is>
          <t>KR</t>
        </is>
      </c>
      <c r="G126" s="15" t="n"/>
      <c r="H126" s="6" t="n"/>
      <c r="I126" s="6" t="inlineStr">
        <is>
          <t>filled</t>
        </is>
      </c>
      <c r="J126" s="16" t="n">
        <v>10.152565668</v>
      </c>
      <c r="K126" s="17" t="n">
        <v>65.98</v>
      </c>
      <c r="L126" s="17">
        <f>IF(AND(ISNUMBER(J126),ISNUMBER(K126)),J126*K126,"")</f>
        <v/>
      </c>
      <c r="M126" s="17" t="n"/>
      <c r="N126" s="16" t="n">
        <v>10.152565668</v>
      </c>
      <c r="O126" s="6" t="inlineStr">
        <is>
          <t>evening under 5% (watchdog)</t>
        </is>
      </c>
      <c r="P126" s="15" t="inlineStr">
        <is>
          <t>Every-minute watchdog: evening rule, under +5% before the close</t>
        </is>
      </c>
      <c r="Q126" s="12" t="n"/>
      <c r="R126" s="6" t="n"/>
      <c r="S126" s="18" t="n"/>
      <c r="T126" s="12" t="n"/>
      <c r="U126" s="19" t="n"/>
      <c r="V126" s="19" t="n"/>
      <c r="W126" s="12" t="n"/>
      <c r="X126" s="6" t="n"/>
      <c r="Y126" s="19" t="n"/>
      <c r="Z126" s="6" t="n"/>
      <c r="AA126" s="12" t="n"/>
      <c r="AB126" s="15" t="n"/>
      <c r="AC126" s="6" t="n"/>
      <c r="AD126" s="6" t="n"/>
      <c r="AE126" s="17" t="n"/>
      <c r="AF126" s="17" t="n"/>
      <c r="AG126" s="17" t="n"/>
      <c r="AH126" s="20" t="n"/>
      <c r="AI126" s="18" t="n"/>
      <c r="AJ126" s="6" t="n"/>
      <c r="AK126" s="12" t="n"/>
      <c r="AL126" s="15" t="n"/>
      <c r="AM126" s="17" t="n"/>
      <c r="AN126" s="19" t="n"/>
      <c r="AO126" s="17" t="n"/>
      <c r="AP126" s="17" t="n"/>
      <c r="AQ126" s="19" t="n"/>
      <c r="AR126" s="16" t="n"/>
      <c r="AS126" s="17" t="n"/>
      <c r="AT126" s="19" t="n"/>
      <c r="AU126" s="6" t="inlineStr">
        <is>
          <t>paper</t>
        </is>
      </c>
      <c r="AV126" s="6" t="inlineStr">
        <is>
          <t>12ae221a-1a89-4f87-8f12-4aa502131b8b</t>
        </is>
      </c>
      <c r="AW126" s="6" t="inlineStr">
        <is>
          <t>tdagent-wd-evening-KR-1793302222404</t>
        </is>
      </c>
      <c r="AX126" s="13" t="n">
        <v>46324.81275462963</v>
      </c>
      <c r="AY126" s="13" t="n">
        <v>46324.8127662037</v>
      </c>
      <c r="AZ126" s="13" t="n"/>
      <c r="BA126" s="6" t="n"/>
    </row>
    <row r="127">
      <c r="A127" s="12" t="n">
        <v>126</v>
      </c>
      <c r="B127" s="13" t="n">
        <v>46324.85443287037</v>
      </c>
      <c r="C127" s="13" t="n">
        <v>46324.64609953704</v>
      </c>
      <c r="D127" s="13" t="n">
        <v>46324.8127662037</v>
      </c>
      <c r="E127" s="21" t="inlineStr">
        <is>
          <t>SELL</t>
        </is>
      </c>
      <c r="F127" s="6" t="inlineStr">
        <is>
          <t>LIN</t>
        </is>
      </c>
      <c r="G127" s="15" t="n"/>
      <c r="H127" s="6" t="n"/>
      <c r="I127" s="6" t="inlineStr">
        <is>
          <t>filled</t>
        </is>
      </c>
      <c r="J127" s="16" t="n">
        <v>0.662854465</v>
      </c>
      <c r="K127" s="17" t="n">
        <v>502.036</v>
      </c>
      <c r="L127" s="17">
        <f>IF(AND(ISNUMBER(J127),ISNUMBER(K127)),J127*K127,"")</f>
        <v/>
      </c>
      <c r="M127" s="17" t="n"/>
      <c r="N127" s="16" t="n">
        <v>0.662854465</v>
      </c>
      <c r="O127" s="6" t="inlineStr">
        <is>
          <t>evening under 5% (watchdog)</t>
        </is>
      </c>
      <c r="P127" s="15" t="inlineStr">
        <is>
          <t>Every-minute watchdog: evening rule, under +5% before the close</t>
        </is>
      </c>
      <c r="Q127" s="12" t="n"/>
      <c r="R127" s="6" t="n"/>
      <c r="S127" s="18" t="n"/>
      <c r="T127" s="12" t="n"/>
      <c r="U127" s="19" t="n"/>
      <c r="V127" s="19" t="n"/>
      <c r="W127" s="12" t="n"/>
      <c r="X127" s="6" t="n"/>
      <c r="Y127" s="19" t="n"/>
      <c r="Z127" s="6" t="n"/>
      <c r="AA127" s="12" t="n"/>
      <c r="AB127" s="15" t="n"/>
      <c r="AC127" s="6" t="n"/>
      <c r="AD127" s="6" t="n"/>
      <c r="AE127" s="17" t="n"/>
      <c r="AF127" s="17" t="n"/>
      <c r="AG127" s="17" t="n"/>
      <c r="AH127" s="20" t="n"/>
      <c r="AI127" s="18" t="n"/>
      <c r="AJ127" s="6" t="n"/>
      <c r="AK127" s="12" t="n"/>
      <c r="AL127" s="15" t="n"/>
      <c r="AM127" s="17" t="n"/>
      <c r="AN127" s="19" t="n"/>
      <c r="AO127" s="17" t="n"/>
      <c r="AP127" s="17" t="n"/>
      <c r="AQ127" s="19" t="n"/>
      <c r="AR127" s="16" t="n"/>
      <c r="AS127" s="17" t="n"/>
      <c r="AT127" s="19" t="n"/>
      <c r="AU127" s="6" t="inlineStr">
        <is>
          <t>paper</t>
        </is>
      </c>
      <c r="AV127" s="6" t="inlineStr">
        <is>
          <t>8b50e38b-e426-4498-90ee-f675c33ee23f</t>
        </is>
      </c>
      <c r="AW127" s="6" t="inlineStr">
        <is>
          <t>tdagent-wd-evening-LIN-1793302223485</t>
        </is>
      </c>
      <c r="AX127" s="13" t="n">
        <v>46324.8127662037</v>
      </c>
      <c r="AY127" s="13" t="n">
        <v>46324.8127662037</v>
      </c>
      <c r="AZ127" s="13" t="n"/>
      <c r="BA127" s="6" t="n"/>
    </row>
    <row r="128">
      <c r="A128" s="12" t="n">
        <v>127</v>
      </c>
      <c r="B128" s="13" t="n">
        <v>46324.85445601852</v>
      </c>
      <c r="C128" s="13" t="n">
        <v>46324.64612268518</v>
      </c>
      <c r="D128" s="13" t="n">
        <v>46324.81278935185</v>
      </c>
      <c r="E128" s="21" t="inlineStr">
        <is>
          <t>SELL</t>
        </is>
      </c>
      <c r="F128" s="6" t="inlineStr">
        <is>
          <t>MA</t>
        </is>
      </c>
      <c r="G128" s="15" t="n"/>
      <c r="H128" s="6" t="n"/>
      <c r="I128" s="6" t="inlineStr">
        <is>
          <t>filled</t>
        </is>
      </c>
      <c r="J128" s="16" t="n">
        <v>13.053417297</v>
      </c>
      <c r="K128" s="17" t="n">
        <v>637</v>
      </c>
      <c r="L128" s="17">
        <f>IF(AND(ISNUMBER(J128),ISNUMBER(K128)),J128*K128,"")</f>
        <v/>
      </c>
      <c r="M128" s="17" t="n"/>
      <c r="N128" s="16" t="n">
        <v>13.053417297</v>
      </c>
      <c r="O128" s="6" t="inlineStr">
        <is>
          <t>evening under 5% (watchdog)</t>
        </is>
      </c>
      <c r="P128" s="15" t="inlineStr">
        <is>
          <t>Every-minute watchdog: evening rule, under +5% before the close</t>
        </is>
      </c>
      <c r="Q128" s="12" t="n"/>
      <c r="R128" s="6" t="n"/>
      <c r="S128" s="18" t="n"/>
      <c r="T128" s="12" t="n"/>
      <c r="U128" s="19" t="n"/>
      <c r="V128" s="19" t="n"/>
      <c r="W128" s="12" t="n"/>
      <c r="X128" s="6" t="n"/>
      <c r="Y128" s="19" t="n"/>
      <c r="Z128" s="6" t="n"/>
      <c r="AA128" s="12" t="n"/>
      <c r="AB128" s="15" t="n"/>
      <c r="AC128" s="6" t="n"/>
      <c r="AD128" s="6" t="n"/>
      <c r="AE128" s="17" t="n"/>
      <c r="AF128" s="17" t="n"/>
      <c r="AG128" s="17" t="n"/>
      <c r="AH128" s="20" t="n"/>
      <c r="AI128" s="18" t="n"/>
      <c r="AJ128" s="6" t="n"/>
      <c r="AK128" s="12" t="n"/>
      <c r="AL128" s="15" t="n"/>
      <c r="AM128" s="17" t="n"/>
      <c r="AN128" s="19" t="n"/>
      <c r="AO128" s="17" t="n"/>
      <c r="AP128" s="17" t="n"/>
      <c r="AQ128" s="19" t="n"/>
      <c r="AR128" s="16" t="n"/>
      <c r="AS128" s="17" t="n"/>
      <c r="AT128" s="19" t="n"/>
      <c r="AU128" s="6" t="inlineStr">
        <is>
          <t>paper</t>
        </is>
      </c>
      <c r="AV128" s="6" t="inlineStr">
        <is>
          <t>1b141de1-e91d-41ba-99de-554f42f3eb60</t>
        </is>
      </c>
      <c r="AW128" s="6" t="inlineStr">
        <is>
          <t>tdagent-wd-evening-MA-1793302224558</t>
        </is>
      </c>
      <c r="AX128" s="13" t="n">
        <v>46324.81277777778</v>
      </c>
      <c r="AY128" s="13" t="n">
        <v>46324.81278935185</v>
      </c>
      <c r="AZ128" s="13" t="n"/>
      <c r="BA128" s="6" t="n"/>
    </row>
    <row r="129">
      <c r="A129" s="12" t="n">
        <v>128</v>
      </c>
      <c r="B129" s="13" t="n">
        <v>46324.85450231482</v>
      </c>
      <c r="C129" s="13" t="n">
        <v>46324.64616898148</v>
      </c>
      <c r="D129" s="13" t="n">
        <v>46324.81283564815</v>
      </c>
      <c r="E129" s="21" t="inlineStr">
        <is>
          <t>SELL</t>
        </is>
      </c>
      <c r="F129" s="6" t="inlineStr">
        <is>
          <t>MCK</t>
        </is>
      </c>
      <c r="G129" s="15" t="n"/>
      <c r="H129" s="6" t="n"/>
      <c r="I129" s="6" t="inlineStr">
        <is>
          <t>filled</t>
        </is>
      </c>
      <c r="J129" s="16" t="n">
        <v>8.556874402</v>
      </c>
      <c r="K129" s="17" t="n">
        <v>972.61</v>
      </c>
      <c r="L129" s="17">
        <f>IF(AND(ISNUMBER(J129),ISNUMBER(K129)),J129*K129,"")</f>
        <v/>
      </c>
      <c r="M129" s="17" t="n"/>
      <c r="N129" s="16" t="n">
        <v>8.556874402</v>
      </c>
      <c r="O129" s="6" t="inlineStr">
        <is>
          <t>evening under 5% (watchdog)</t>
        </is>
      </c>
      <c r="P129" s="15" t="inlineStr">
        <is>
          <t>Every-minute watchdog: evening rule, under +5% before the close</t>
        </is>
      </c>
      <c r="Q129" s="12" t="n"/>
      <c r="R129" s="6" t="n"/>
      <c r="S129" s="18" t="n"/>
      <c r="T129" s="12" t="n"/>
      <c r="U129" s="19" t="n"/>
      <c r="V129" s="19" t="n"/>
      <c r="W129" s="12" t="n"/>
      <c r="X129" s="6" t="n"/>
      <c r="Y129" s="19" t="n"/>
      <c r="Z129" s="6" t="n"/>
      <c r="AA129" s="12" t="n"/>
      <c r="AB129" s="15" t="n"/>
      <c r="AC129" s="6" t="n"/>
      <c r="AD129" s="6" t="n"/>
      <c r="AE129" s="17" t="n"/>
      <c r="AF129" s="17" t="n"/>
      <c r="AG129" s="17" t="n"/>
      <c r="AH129" s="20" t="n"/>
      <c r="AI129" s="18" t="n"/>
      <c r="AJ129" s="6" t="n"/>
      <c r="AK129" s="12" t="n"/>
      <c r="AL129" s="15" t="n"/>
      <c r="AM129" s="17" t="n"/>
      <c r="AN129" s="19" t="n"/>
      <c r="AO129" s="17" t="n"/>
      <c r="AP129" s="17" t="n"/>
      <c r="AQ129" s="19" t="n"/>
      <c r="AR129" s="16" t="n"/>
      <c r="AS129" s="17" t="n"/>
      <c r="AT129" s="19" t="n"/>
      <c r="AU129" s="6" t="inlineStr">
        <is>
          <t>paper</t>
        </is>
      </c>
      <c r="AV129" s="6" t="inlineStr">
        <is>
          <t>58882f88-fc2f-4f06-a730-ccd4bc3689f0</t>
        </is>
      </c>
      <c r="AW129" s="6" t="inlineStr">
        <is>
          <t>tdagent-wd-evening-MCK-1793302225650</t>
        </is>
      </c>
      <c r="AX129" s="13" t="n">
        <v>46324.81278935185</v>
      </c>
      <c r="AY129" s="13" t="n">
        <v>46324.81283564815</v>
      </c>
      <c r="AZ129" s="13" t="n"/>
      <c r="BA129" s="6" t="n"/>
    </row>
    <row r="130">
      <c r="A130" s="12" t="n">
        <v>129</v>
      </c>
      <c r="B130" s="13" t="n">
        <v>46324.85450231482</v>
      </c>
      <c r="C130" s="13" t="n">
        <v>46324.64616898148</v>
      </c>
      <c r="D130" s="13" t="n">
        <v>46324.81283564815</v>
      </c>
      <c r="E130" s="21" t="inlineStr">
        <is>
          <t>SELL</t>
        </is>
      </c>
      <c r="F130" s="6" t="inlineStr">
        <is>
          <t>MNST</t>
        </is>
      </c>
      <c r="G130" s="15" t="n"/>
      <c r="H130" s="6" t="n"/>
      <c r="I130" s="6" t="inlineStr">
        <is>
          <t>filled</t>
        </is>
      </c>
      <c r="J130" s="16" t="n">
        <v>41.930066911</v>
      </c>
      <c r="K130" s="17" t="n">
        <v>46.32</v>
      </c>
      <c r="L130" s="17">
        <f>IF(AND(ISNUMBER(J130),ISNUMBER(K130)),J130*K130,"")</f>
        <v/>
      </c>
      <c r="M130" s="17" t="n"/>
      <c r="N130" s="16" t="n">
        <v>41.930066911</v>
      </c>
      <c r="O130" s="6" t="inlineStr">
        <is>
          <t>evening under 5% (watchdog)</t>
        </is>
      </c>
      <c r="P130" s="15" t="inlineStr">
        <is>
          <t>Every-minute watchdog: evening rule, under +5% before the close</t>
        </is>
      </c>
      <c r="Q130" s="12" t="n"/>
      <c r="R130" s="6" t="n"/>
      <c r="S130" s="18" t="n"/>
      <c r="T130" s="12" t="n"/>
      <c r="U130" s="19" t="n"/>
      <c r="V130" s="19" t="n"/>
      <c r="W130" s="12" t="n"/>
      <c r="X130" s="6" t="n"/>
      <c r="Y130" s="19" t="n"/>
      <c r="Z130" s="6" t="n"/>
      <c r="AA130" s="12" t="n"/>
      <c r="AB130" s="15" t="n"/>
      <c r="AC130" s="6" t="n"/>
      <c r="AD130" s="6" t="n"/>
      <c r="AE130" s="17" t="n"/>
      <c r="AF130" s="17" t="n"/>
      <c r="AG130" s="17" t="n"/>
      <c r="AH130" s="20" t="n"/>
      <c r="AI130" s="18" t="n"/>
      <c r="AJ130" s="6" t="n"/>
      <c r="AK130" s="12" t="n"/>
      <c r="AL130" s="15" t="n"/>
      <c r="AM130" s="17" t="n"/>
      <c r="AN130" s="19" t="n"/>
      <c r="AO130" s="17" t="n"/>
      <c r="AP130" s="17" t="n"/>
      <c r="AQ130" s="19" t="n"/>
      <c r="AR130" s="16" t="n"/>
      <c r="AS130" s="17" t="n"/>
      <c r="AT130" s="19" t="n"/>
      <c r="AU130" s="6" t="inlineStr">
        <is>
          <t>paper</t>
        </is>
      </c>
      <c r="AV130" s="6" t="inlineStr">
        <is>
          <t>5d595309-9547-4900-8434-57839c5a42d9</t>
        </is>
      </c>
      <c r="AW130" s="6" t="inlineStr">
        <is>
          <t>tdagent-wd-evening-MNST-1793302226953</t>
        </is>
      </c>
      <c r="AX130" s="13" t="n">
        <v>46324.8128125</v>
      </c>
      <c r="AY130" s="13" t="n">
        <v>46324.81283564815</v>
      </c>
      <c r="AZ130" s="13" t="n"/>
      <c r="BA130" s="6" t="n"/>
    </row>
    <row r="131">
      <c r="A131" s="12" t="n">
        <v>130</v>
      </c>
      <c r="B131" s="13" t="n">
        <v>46324.85451388889</v>
      </c>
      <c r="C131" s="13" t="n">
        <v>46324.64618055556</v>
      </c>
      <c r="D131" s="13" t="n">
        <v>46324.81284722222</v>
      </c>
      <c r="E131" s="21" t="inlineStr">
        <is>
          <t>SELL</t>
        </is>
      </c>
      <c r="F131" s="6" t="inlineStr">
        <is>
          <t>NTRA</t>
        </is>
      </c>
      <c r="G131" s="15" t="n"/>
      <c r="H131" s="6" t="n"/>
      <c r="I131" s="6" t="inlineStr">
        <is>
          <t>filled</t>
        </is>
      </c>
      <c r="J131" s="16" t="n">
        <v>19.644723215</v>
      </c>
      <c r="K131" s="17" t="n">
        <v>430.31</v>
      </c>
      <c r="L131" s="17">
        <f>IF(AND(ISNUMBER(J131),ISNUMBER(K131)),J131*K131,"")</f>
        <v/>
      </c>
      <c r="M131" s="17" t="n"/>
      <c r="N131" s="16" t="n">
        <v>19.644723215</v>
      </c>
      <c r="O131" s="6" t="inlineStr">
        <is>
          <t>evening under 5% (watchdog)</t>
        </is>
      </c>
      <c r="P131" s="15" t="inlineStr">
        <is>
          <t>Every-minute watchdog: evening rule, under +5% before the close</t>
        </is>
      </c>
      <c r="Q131" s="12" t="n"/>
      <c r="R131" s="6" t="n"/>
      <c r="S131" s="18" t="n"/>
      <c r="T131" s="12" t="n"/>
      <c r="U131" s="19" t="n"/>
      <c r="V131" s="19" t="n"/>
      <c r="W131" s="12" t="n"/>
      <c r="X131" s="6" t="n"/>
      <c r="Y131" s="19" t="n"/>
      <c r="Z131" s="6" t="n"/>
      <c r="AA131" s="12" t="n"/>
      <c r="AB131" s="15" t="n"/>
      <c r="AC131" s="6" t="n"/>
      <c r="AD131" s="6" t="n"/>
      <c r="AE131" s="17" t="n"/>
      <c r="AF131" s="17" t="n"/>
      <c r="AG131" s="17" t="n"/>
      <c r="AH131" s="20" t="n"/>
      <c r="AI131" s="18" t="n"/>
      <c r="AJ131" s="6" t="n"/>
      <c r="AK131" s="12" t="n"/>
      <c r="AL131" s="15" t="n"/>
      <c r="AM131" s="17" t="n"/>
      <c r="AN131" s="19" t="n"/>
      <c r="AO131" s="17" t="n"/>
      <c r="AP131" s="17" t="n"/>
      <c r="AQ131" s="19" t="n"/>
      <c r="AR131" s="16" t="n"/>
      <c r="AS131" s="17" t="n"/>
      <c r="AT131" s="19" t="n"/>
      <c r="AU131" s="6" t="inlineStr">
        <is>
          <t>paper</t>
        </is>
      </c>
      <c r="AV131" s="6" t="inlineStr">
        <is>
          <t>2525d2a0-c046-4536-be04-c49f21c0f9ed</t>
        </is>
      </c>
      <c r="AW131" s="6" t="inlineStr">
        <is>
          <t>tdagent-wd-evening-NTRA-1793302228020</t>
        </is>
      </c>
      <c r="AX131" s="13" t="n">
        <v>46324.81282407408</v>
      </c>
      <c r="AY131" s="13" t="n">
        <v>46324.81284722222</v>
      </c>
      <c r="AZ131" s="13" t="n"/>
      <c r="BA131" s="6" t="n"/>
    </row>
    <row r="132">
      <c r="A132" s="12" t="n">
        <v>131</v>
      </c>
      <c r="B132" s="13" t="n">
        <v>46324.85458333333</v>
      </c>
      <c r="C132" s="13" t="n">
        <v>46324.64625</v>
      </c>
      <c r="D132" s="13" t="n">
        <v>46324.81291666667</v>
      </c>
      <c r="E132" s="21" t="inlineStr">
        <is>
          <t>SELL</t>
        </is>
      </c>
      <c r="F132" s="6" t="inlineStr">
        <is>
          <t>OXY</t>
        </is>
      </c>
      <c r="G132" s="15" t="n"/>
      <c r="H132" s="6" t="n"/>
      <c r="I132" s="6" t="inlineStr">
        <is>
          <t>filled</t>
        </is>
      </c>
      <c r="J132" s="16" t="n">
        <v>132.370499603</v>
      </c>
      <c r="K132" s="17" t="n">
        <v>62.615865</v>
      </c>
      <c r="L132" s="17">
        <f>IF(AND(ISNUMBER(J132),ISNUMBER(K132)),J132*K132,"")</f>
        <v/>
      </c>
      <c r="M132" s="17" t="n"/>
      <c r="N132" s="16" t="n">
        <v>132.370499603</v>
      </c>
      <c r="O132" s="6" t="inlineStr">
        <is>
          <t>evening under 5% (watchdog)</t>
        </is>
      </c>
      <c r="P132" s="15" t="inlineStr">
        <is>
          <t>Every-minute watchdog: evening rule, under +5% before the close</t>
        </is>
      </c>
      <c r="Q132" s="12" t="n"/>
      <c r="R132" s="6" t="n"/>
      <c r="S132" s="18" t="n"/>
      <c r="T132" s="12" t="n"/>
      <c r="U132" s="19" t="n"/>
      <c r="V132" s="19" t="n"/>
      <c r="W132" s="12" t="n"/>
      <c r="X132" s="6" t="n"/>
      <c r="Y132" s="19" t="n"/>
      <c r="Z132" s="6" t="n"/>
      <c r="AA132" s="12" t="n"/>
      <c r="AB132" s="15" t="n"/>
      <c r="AC132" s="6" t="n"/>
      <c r="AD132" s="6" t="n"/>
      <c r="AE132" s="17" t="n"/>
      <c r="AF132" s="17" t="n"/>
      <c r="AG132" s="17" t="n"/>
      <c r="AH132" s="20" t="n"/>
      <c r="AI132" s="18" t="n"/>
      <c r="AJ132" s="6" t="n"/>
      <c r="AK132" s="12" t="n"/>
      <c r="AL132" s="15" t="n"/>
      <c r="AM132" s="17" t="n"/>
      <c r="AN132" s="19" t="n"/>
      <c r="AO132" s="17" t="n"/>
      <c r="AP132" s="17" t="n"/>
      <c r="AQ132" s="19" t="n"/>
      <c r="AR132" s="16" t="n"/>
      <c r="AS132" s="17" t="n"/>
      <c r="AT132" s="19" t="n"/>
      <c r="AU132" s="6" t="inlineStr">
        <is>
          <t>paper</t>
        </is>
      </c>
      <c r="AV132" s="6" t="inlineStr">
        <is>
          <t>779bd3ce-6645-42cc-a2d7-b0d5a4c8285c</t>
        </is>
      </c>
      <c r="AW132" s="6" t="inlineStr">
        <is>
          <t>tdagent-wd-evening-OXY-1793302229102</t>
        </is>
      </c>
      <c r="AX132" s="13" t="n">
        <v>46324.81283564815</v>
      </c>
      <c r="AY132" s="13" t="n">
        <v>46324.81291666667</v>
      </c>
      <c r="AZ132" s="13" t="n"/>
      <c r="BA132" s="6" t="n"/>
    </row>
    <row r="133">
      <c r="A133" s="12" t="n">
        <v>132</v>
      </c>
      <c r="B133" s="13" t="n">
        <v>46324.85451388889</v>
      </c>
      <c r="C133" s="13" t="n">
        <v>46324.64618055556</v>
      </c>
      <c r="D133" s="13" t="n">
        <v>46324.81284722222</v>
      </c>
      <c r="E133" s="21" t="inlineStr">
        <is>
          <t>SELL</t>
        </is>
      </c>
      <c r="F133" s="6" t="inlineStr">
        <is>
          <t>REGN</t>
        </is>
      </c>
      <c r="G133" s="15" t="n"/>
      <c r="H133" s="6" t="n"/>
      <c r="I133" s="6" t="inlineStr">
        <is>
          <t>filled</t>
        </is>
      </c>
      <c r="J133" s="16" t="n">
        <v>1.562144008</v>
      </c>
      <c r="K133" s="17" t="n">
        <v>814.27</v>
      </c>
      <c r="L133" s="17">
        <f>IF(AND(ISNUMBER(J133),ISNUMBER(K133)),J133*K133,"")</f>
        <v/>
      </c>
      <c r="M133" s="17" t="n"/>
      <c r="N133" s="16" t="n">
        <v>1.562144008</v>
      </c>
      <c r="O133" s="6" t="inlineStr">
        <is>
          <t>evening under 5% (watchdog)</t>
        </is>
      </c>
      <c r="P133" s="15" t="inlineStr">
        <is>
          <t>Every-minute watchdog: evening rule, under +5% before the close</t>
        </is>
      </c>
      <c r="Q133" s="12" t="n"/>
      <c r="R133" s="6" t="n"/>
      <c r="S133" s="18" t="n"/>
      <c r="T133" s="12" t="n"/>
      <c r="U133" s="19" t="n"/>
      <c r="V133" s="19" t="n"/>
      <c r="W133" s="12" t="n"/>
      <c r="X133" s="6" t="n"/>
      <c r="Y133" s="19" t="n"/>
      <c r="Z133" s="6" t="n"/>
      <c r="AA133" s="12" t="n"/>
      <c r="AB133" s="15" t="n"/>
      <c r="AC133" s="6" t="n"/>
      <c r="AD133" s="6" t="n"/>
      <c r="AE133" s="17" t="n"/>
      <c r="AF133" s="17" t="n"/>
      <c r="AG133" s="17" t="n"/>
      <c r="AH133" s="20" t="n"/>
      <c r="AI133" s="18" t="n"/>
      <c r="AJ133" s="6" t="n"/>
      <c r="AK133" s="12" t="n"/>
      <c r="AL133" s="15" t="n"/>
      <c r="AM133" s="17" t="n"/>
      <c r="AN133" s="19" t="n"/>
      <c r="AO133" s="17" t="n"/>
      <c r="AP133" s="17" t="n"/>
      <c r="AQ133" s="19" t="n"/>
      <c r="AR133" s="16" t="n"/>
      <c r="AS133" s="17" t="n"/>
      <c r="AT133" s="19" t="n"/>
      <c r="AU133" s="6" t="inlineStr">
        <is>
          <t>paper</t>
        </is>
      </c>
      <c r="AV133" s="6" t="inlineStr">
        <is>
          <t>ac545554-f080-4159-afde-cb853b451a45</t>
        </is>
      </c>
      <c r="AW133" s="6" t="inlineStr">
        <is>
          <t>tdagent-wd-evening-REGN-1793302230168</t>
        </is>
      </c>
      <c r="AX133" s="13" t="n">
        <v>46324.81284722222</v>
      </c>
      <c r="AY133" s="13" t="n">
        <v>46324.81284722222</v>
      </c>
      <c r="AZ133" s="13" t="n"/>
      <c r="BA133" s="6" t="n"/>
    </row>
    <row r="134">
      <c r="A134" s="12" t="n">
        <v>133</v>
      </c>
      <c r="B134" s="13" t="n">
        <v>46324.85454861111</v>
      </c>
      <c r="C134" s="13" t="n">
        <v>46324.64621527777</v>
      </c>
      <c r="D134" s="13" t="n">
        <v>46324.81288194445</v>
      </c>
      <c r="E134" s="21" t="inlineStr">
        <is>
          <t>SELL</t>
        </is>
      </c>
      <c r="F134" s="6" t="inlineStr">
        <is>
          <t>SHEL</t>
        </is>
      </c>
      <c r="G134" s="15" t="n"/>
      <c r="H134" s="6" t="n"/>
      <c r="I134" s="6" t="inlineStr">
        <is>
          <t>filled</t>
        </is>
      </c>
      <c r="J134" s="16" t="n">
        <v>6.184668341</v>
      </c>
      <c r="K134" s="17" t="n">
        <v>107.668085</v>
      </c>
      <c r="L134" s="17">
        <f>IF(AND(ISNUMBER(J134),ISNUMBER(K134)),J134*K134,"")</f>
        <v/>
      </c>
      <c r="M134" s="17" t="n"/>
      <c r="N134" s="16" t="n">
        <v>6.184668341</v>
      </c>
      <c r="O134" s="6" t="inlineStr">
        <is>
          <t>evening under 5% (watchdog)</t>
        </is>
      </c>
      <c r="P134" s="15" t="inlineStr">
        <is>
          <t>Every-minute watchdog: evening rule, under +5% before the close</t>
        </is>
      </c>
      <c r="Q134" s="12" t="n"/>
      <c r="R134" s="6" t="n"/>
      <c r="S134" s="18" t="n"/>
      <c r="T134" s="12" t="n"/>
      <c r="U134" s="19" t="n"/>
      <c r="V134" s="19" t="n"/>
      <c r="W134" s="12" t="n"/>
      <c r="X134" s="6" t="n"/>
      <c r="Y134" s="19" t="n"/>
      <c r="Z134" s="6" t="n"/>
      <c r="AA134" s="12" t="n"/>
      <c r="AB134" s="15" t="n"/>
      <c r="AC134" s="6" t="n"/>
      <c r="AD134" s="6" t="n"/>
      <c r="AE134" s="17" t="n"/>
      <c r="AF134" s="17" t="n"/>
      <c r="AG134" s="17" t="n"/>
      <c r="AH134" s="20" t="n"/>
      <c r="AI134" s="18" t="n"/>
      <c r="AJ134" s="6" t="n"/>
      <c r="AK134" s="12" t="n"/>
      <c r="AL134" s="15" t="n"/>
      <c r="AM134" s="17" t="n"/>
      <c r="AN134" s="19" t="n"/>
      <c r="AO134" s="17" t="n"/>
      <c r="AP134" s="17" t="n"/>
      <c r="AQ134" s="19" t="n"/>
      <c r="AR134" s="16" t="n"/>
      <c r="AS134" s="17" t="n"/>
      <c r="AT134" s="19" t="n"/>
      <c r="AU134" s="6" t="inlineStr">
        <is>
          <t>paper</t>
        </is>
      </c>
      <c r="AV134" s="6" t="inlineStr">
        <is>
          <t>b4c64afe-002e-437a-b3a1-f77a11dfc1d9</t>
        </is>
      </c>
      <c r="AW134" s="6" t="inlineStr">
        <is>
          <t>tdagent-wd-evening-SHEL-1793302231236</t>
        </is>
      </c>
      <c r="AX134" s="13" t="n">
        <v>46324.81285879629</v>
      </c>
      <c r="AY134" s="13" t="n">
        <v>46324.81288194445</v>
      </c>
      <c r="AZ134" s="13" t="n"/>
      <c r="BA134" s="6" t="n"/>
    </row>
    <row r="135">
      <c r="A135" s="12" t="n">
        <v>134</v>
      </c>
      <c r="B135" s="13" t="n">
        <v>46324.85454861111</v>
      </c>
      <c r="C135" s="13" t="n">
        <v>46324.64621527777</v>
      </c>
      <c r="D135" s="13" t="n">
        <v>46324.81288194445</v>
      </c>
      <c r="E135" s="21" t="inlineStr">
        <is>
          <t>SELL</t>
        </is>
      </c>
      <c r="F135" s="6" t="inlineStr">
        <is>
          <t>SO</t>
        </is>
      </c>
      <c r="G135" s="15" t="n"/>
      <c r="H135" s="6" t="n"/>
      <c r="I135" s="6" t="inlineStr">
        <is>
          <t>filled</t>
        </is>
      </c>
      <c r="J135" s="16" t="n">
        <v>14.744111003</v>
      </c>
      <c r="K135" s="17" t="n">
        <v>93.03</v>
      </c>
      <c r="L135" s="17">
        <f>IF(AND(ISNUMBER(J135),ISNUMBER(K135)),J135*K135,"")</f>
        <v/>
      </c>
      <c r="M135" s="17" t="n"/>
      <c r="N135" s="16" t="n">
        <v>14.744111003</v>
      </c>
      <c r="O135" s="6" t="inlineStr">
        <is>
          <t>evening under 5% (watchdog)</t>
        </is>
      </c>
      <c r="P135" s="15" t="inlineStr">
        <is>
          <t>Every-minute watchdog: evening rule, under +5% before the close</t>
        </is>
      </c>
      <c r="Q135" s="12" t="n"/>
      <c r="R135" s="6" t="n"/>
      <c r="S135" s="18" t="n"/>
      <c r="T135" s="12" t="n"/>
      <c r="U135" s="19" t="n"/>
      <c r="V135" s="19" t="n"/>
      <c r="W135" s="12" t="n"/>
      <c r="X135" s="6" t="n"/>
      <c r="Y135" s="19" t="n"/>
      <c r="Z135" s="6" t="n"/>
      <c r="AA135" s="12" t="n"/>
      <c r="AB135" s="15" t="n"/>
      <c r="AC135" s="6" t="n"/>
      <c r="AD135" s="6" t="n"/>
      <c r="AE135" s="17" t="n"/>
      <c r="AF135" s="17" t="n"/>
      <c r="AG135" s="17" t="n"/>
      <c r="AH135" s="20" t="n"/>
      <c r="AI135" s="18" t="n"/>
      <c r="AJ135" s="6" t="n"/>
      <c r="AK135" s="12" t="n"/>
      <c r="AL135" s="15" t="n"/>
      <c r="AM135" s="17" t="n"/>
      <c r="AN135" s="19" t="n"/>
      <c r="AO135" s="17" t="n"/>
      <c r="AP135" s="17" t="n"/>
      <c r="AQ135" s="19" t="n"/>
      <c r="AR135" s="16" t="n"/>
      <c r="AS135" s="17" t="n"/>
      <c r="AT135" s="19" t="n"/>
      <c r="AU135" s="6" t="inlineStr">
        <is>
          <t>paper</t>
        </is>
      </c>
      <c r="AV135" s="6" t="inlineStr">
        <is>
          <t>5beca5e0-06a3-4be1-a5d9-c97a5e140c7d</t>
        </is>
      </c>
      <c r="AW135" s="6" t="inlineStr">
        <is>
          <t>tdagent-wd-evening-SO-1793302232319</t>
        </is>
      </c>
      <c r="AX135" s="13" t="n">
        <v>46324.81287037037</v>
      </c>
      <c r="AY135" s="13" t="n">
        <v>46324.81288194445</v>
      </c>
      <c r="AZ135" s="13" t="n"/>
      <c r="BA135" s="6" t="n"/>
    </row>
    <row r="136">
      <c r="A136" s="12" t="n">
        <v>135</v>
      </c>
      <c r="B136" s="13" t="n">
        <v>46324.85456018519</v>
      </c>
      <c r="C136" s="13" t="n">
        <v>46324.64622685185</v>
      </c>
      <c r="D136" s="13" t="n">
        <v>46324.81289351852</v>
      </c>
      <c r="E136" s="21" t="inlineStr">
        <is>
          <t>SELL</t>
        </is>
      </c>
      <c r="F136" s="6" t="inlineStr">
        <is>
          <t>VEEV</t>
        </is>
      </c>
      <c r="G136" s="15" t="n"/>
      <c r="H136" s="6" t="n"/>
      <c r="I136" s="6" t="inlineStr">
        <is>
          <t>filled</t>
        </is>
      </c>
      <c r="J136" s="16" t="n">
        <v>2.132719514</v>
      </c>
      <c r="K136" s="17" t="n">
        <v>310.44</v>
      </c>
      <c r="L136" s="17">
        <f>IF(AND(ISNUMBER(J136),ISNUMBER(K136)),J136*K136,"")</f>
        <v/>
      </c>
      <c r="M136" s="17" t="n"/>
      <c r="N136" s="16" t="n">
        <v>2.132719514</v>
      </c>
      <c r="O136" s="6" t="inlineStr">
        <is>
          <t>evening under 5% (watchdog)</t>
        </is>
      </c>
      <c r="P136" s="15" t="inlineStr">
        <is>
          <t>Every-minute watchdog: evening rule, under +5% before the close</t>
        </is>
      </c>
      <c r="Q136" s="12" t="n"/>
      <c r="R136" s="6" t="n"/>
      <c r="S136" s="18" t="n"/>
      <c r="T136" s="12" t="n"/>
      <c r="U136" s="19" t="n"/>
      <c r="V136" s="19" t="n"/>
      <c r="W136" s="12" t="n"/>
      <c r="X136" s="6" t="n"/>
      <c r="Y136" s="19" t="n"/>
      <c r="Z136" s="6" t="n"/>
      <c r="AA136" s="12" t="n"/>
      <c r="AB136" s="15" t="n"/>
      <c r="AC136" s="6" t="n"/>
      <c r="AD136" s="6" t="n"/>
      <c r="AE136" s="17" t="n"/>
      <c r="AF136" s="17" t="n"/>
      <c r="AG136" s="17" t="n"/>
      <c r="AH136" s="20" t="n"/>
      <c r="AI136" s="18" t="n"/>
      <c r="AJ136" s="6" t="n"/>
      <c r="AK136" s="12" t="n"/>
      <c r="AL136" s="15" t="n"/>
      <c r="AM136" s="17" t="n"/>
      <c r="AN136" s="19" t="n"/>
      <c r="AO136" s="17" t="n"/>
      <c r="AP136" s="17" t="n"/>
      <c r="AQ136" s="19" t="n"/>
      <c r="AR136" s="16" t="n"/>
      <c r="AS136" s="17" t="n"/>
      <c r="AT136" s="19" t="n"/>
      <c r="AU136" s="6" t="inlineStr">
        <is>
          <t>paper</t>
        </is>
      </c>
      <c r="AV136" s="6" t="inlineStr">
        <is>
          <t>d1f32e1f-3a83-4042-8079-a7edc3e38000</t>
        </is>
      </c>
      <c r="AW136" s="6" t="inlineStr">
        <is>
          <t>tdagent-wd-evening-VEEV-1793302233394</t>
        </is>
      </c>
      <c r="AX136" s="13" t="n">
        <v>46324.81288194445</v>
      </c>
      <c r="AY136" s="13" t="n">
        <v>46324.81289351852</v>
      </c>
      <c r="AZ136" s="13" t="n"/>
      <c r="BA136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74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>
        <v>46323.85476851852</v>
      </c>
      <c r="I4" s="22" t="n">
        <v>46323.64643518518</v>
      </c>
      <c r="J4" s="17" t="n">
        <v>105.486426</v>
      </c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inlineStr">
        <is>
          <t>evening under 5% (watchdog)</t>
        </is>
      </c>
      <c r="P4" s="6" t="inlineStr">
        <is>
          <t>Closed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>
        <v>46323.8547800926</v>
      </c>
      <c r="I6" s="22" t="n">
        <v>46323.64644675926</v>
      </c>
      <c r="J6" s="17" t="n">
        <v>584.76</v>
      </c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inlineStr">
        <is>
          <t>evening under 5% (watchdog)</t>
        </is>
      </c>
      <c r="P6" s="6" t="inlineStr">
        <is>
          <t>Closed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>
        <v>46323.85449074074</v>
      </c>
      <c r="I7" s="22" t="n">
        <v>46323.64615740741</v>
      </c>
      <c r="J7" s="17" t="n">
        <v>288.51</v>
      </c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inlineStr">
        <is>
          <t>evening under 5% (watchdog)</t>
        </is>
      </c>
      <c r="P7" s="6" t="inlineStr">
        <is>
          <t>Closed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>
        <v>46323.85445601852</v>
      </c>
      <c r="I8" s="22" t="n">
        <v>46323.64612268518</v>
      </c>
      <c r="J8" s="17" t="n">
        <v>117.477719</v>
      </c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inlineStr">
        <is>
          <t>evening under 5% (watchdog)</t>
        </is>
      </c>
      <c r="P8" s="6" t="inlineStr">
        <is>
          <t>Closed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>
        <v>46323.85445601852</v>
      </c>
      <c r="I9" s="22" t="n">
        <v>46323.64612268518</v>
      </c>
      <c r="J9" s="17" t="n">
        <v>62.591634</v>
      </c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inlineStr">
        <is>
          <t>evening under 5% (watchdog)</t>
        </is>
      </c>
      <c r="P9" s="6" t="inlineStr">
        <is>
          <t>Closed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>
        <v>46323.85459490741</v>
      </c>
      <c r="I10" s="22" t="n">
        <v>46323.64626157407</v>
      </c>
      <c r="J10" s="17" t="n">
        <v>959.34</v>
      </c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inlineStr">
        <is>
          <t>evening under 5% (watchdog)</t>
        </is>
      </c>
      <c r="P10" s="6" t="inlineStr">
        <is>
          <t>Closed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>
        <v>46323.85476851852</v>
      </c>
      <c r="I11" s="22" t="n">
        <v>46323.64643518518</v>
      </c>
      <c r="J11" s="17" t="n">
        <v>705.6</v>
      </c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inlineStr">
        <is>
          <t>evening under 5% (watchdog)</t>
        </is>
      </c>
      <c r="P11" s="6" t="inlineStr">
        <is>
          <t>Closed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>
        <v>46323.85439814815</v>
      </c>
      <c r="I12" s="22" t="n">
        <v>46323.64606481481</v>
      </c>
      <c r="J12" s="17" t="n">
        <v>322.32659</v>
      </c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inlineStr">
        <is>
          <t>evening under 5% (watchdog)</t>
        </is>
      </c>
      <c r="P12" s="6" t="inlineStr">
        <is>
          <t>Closed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>
        <v>46323.85467592593</v>
      </c>
      <c r="I13" s="22" t="n">
        <v>46323.64634259259</v>
      </c>
      <c r="J13" s="17" t="n">
        <v>63.186349</v>
      </c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inlineStr">
        <is>
          <t>evening under 5% (watchdog)</t>
        </is>
      </c>
      <c r="P13" s="6" t="inlineStr">
        <is>
          <t>Closed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>
        <v>46323.85454861111</v>
      </c>
      <c r="I15" s="22" t="n">
        <v>46323.64621527777</v>
      </c>
      <c r="J15" s="17" t="n">
        <v>276.99</v>
      </c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inlineStr">
        <is>
          <t>evening under 5% (watchdog)</t>
        </is>
      </c>
      <c r="P15" s="6" t="inlineStr">
        <is>
          <t>Closed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>
        <v>46323.8546412037</v>
      </c>
      <c r="I16" s="22" t="n">
        <v>46323.64630787037</v>
      </c>
      <c r="J16" s="17" t="n">
        <v>45.67</v>
      </c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inlineStr">
        <is>
          <t>evening under 5% (watchdog)</t>
        </is>
      </c>
      <c r="P16" s="6" t="inlineStr">
        <is>
          <t>Closed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>
        <v>46323.85472222222</v>
      </c>
      <c r="I18" s="22" t="n">
        <v>46323.64638888889</v>
      </c>
      <c r="J18" s="17" t="n">
        <v>19.779925</v>
      </c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inlineStr">
        <is>
          <t>evening under 5% (watchdog)</t>
        </is>
      </c>
      <c r="P18" s="6" t="inlineStr">
        <is>
          <t>Closed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>
        <v>46323.85457175926</v>
      </c>
      <c r="I19" s="22" t="n">
        <v>46323.64623842593</v>
      </c>
      <c r="J19" s="17" t="n">
        <v>297.565854</v>
      </c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inlineStr">
        <is>
          <t>evening under 5% (watchdog)</t>
        </is>
      </c>
      <c r="P19" s="6" t="inlineStr">
        <is>
          <t>Closed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>
        <v>46323.854375</v>
      </c>
      <c r="I20" s="22" t="n">
        <v>46323.64604166667</v>
      </c>
      <c r="J20" s="17" t="n">
        <v>426.02</v>
      </c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inlineStr">
        <is>
          <t>evening under 5% (watchdog)</t>
        </is>
      </c>
      <c r="P20" s="6" t="inlineStr">
        <is>
          <t>Closed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>
        <v>46323.85466435185</v>
      </c>
      <c r="I21" s="22" t="n">
        <v>46323.64633101852</v>
      </c>
      <c r="J21" s="17" t="n">
        <v>427.12</v>
      </c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inlineStr">
        <is>
          <t>evening under 5% (watchdog)</t>
        </is>
      </c>
      <c r="P21" s="6" t="inlineStr">
        <is>
          <t>Closed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>
        <v>46323.85461805556</v>
      </c>
      <c r="I22" s="22" t="n">
        <v>46323.64628472222</v>
      </c>
      <c r="J22" s="17" t="n">
        <v>73.23</v>
      </c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inlineStr">
        <is>
          <t>evening under 5% (watchdog)</t>
        </is>
      </c>
      <c r="P22" s="6" t="inlineStr">
        <is>
          <t>Closed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>
        <v>46323.85480324074</v>
      </c>
      <c r="I23" s="22" t="n">
        <v>46323.64646990741</v>
      </c>
      <c r="J23" s="17" t="n">
        <v>321.15</v>
      </c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inlineStr">
        <is>
          <t>evening under 5% (watchdog)</t>
        </is>
      </c>
      <c r="P23" s="6" t="inlineStr">
        <is>
          <t>Closed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>
        <v>46323.85454861111</v>
      </c>
      <c r="I24" s="22" t="n">
        <v>46323.64621527777</v>
      </c>
      <c r="J24" s="17" t="n">
        <v>65.22</v>
      </c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inlineStr">
        <is>
          <t>evening under 5% (watchdog)</t>
        </is>
      </c>
      <c r="P24" s="6" t="inlineStr">
        <is>
          <t>Closed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>
        <v>46323.85436342593</v>
      </c>
      <c r="I25" s="22" t="n">
        <v>46323.64603009259</v>
      </c>
      <c r="J25" s="17" t="n">
        <v>286.66</v>
      </c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inlineStr">
        <is>
          <t>evening under 5% (watchdog)</t>
        </is>
      </c>
      <c r="P25" s="6" t="inlineStr">
        <is>
          <t>Closed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>
        <v>46323.85456018519</v>
      </c>
      <c r="I27" s="22" t="n">
        <v>46323.64622685185</v>
      </c>
      <c r="J27" s="17" t="n">
        <v>612.568</v>
      </c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inlineStr">
        <is>
          <t>evening under 5% (watchdog)</t>
        </is>
      </c>
      <c r="P27" s="6" t="inlineStr">
        <is>
          <t>Closed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>
        <v>46323.76857638889</v>
      </c>
      <c r="I30" s="22" t="n">
        <v>46323.56024305556</v>
      </c>
      <c r="J30" s="17" t="n">
        <v>67.72</v>
      </c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inlineStr">
        <is>
          <t>2 or fewer green</t>
        </is>
      </c>
      <c r="P30" s="6" t="inlineStr">
        <is>
          <t>Closed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>
        <v>46323.8544212963</v>
      </c>
      <c r="I31" s="22" t="n">
        <v>46323.64608796296</v>
      </c>
      <c r="J31" s="17" t="n">
        <v>66.09999999999999</v>
      </c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inlineStr">
        <is>
          <t>evening under 5% (watchdog)</t>
        </is>
      </c>
      <c r="P31" s="6" t="inlineStr">
        <is>
          <t>Closed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>
        <v>46323.8544675926</v>
      </c>
      <c r="I32" s="22" t="n">
        <v>46323.64613425926</v>
      </c>
      <c r="J32" s="17" t="n">
        <v>47.68</v>
      </c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inlineStr">
        <is>
          <t>evening under 5% (watchdog)</t>
        </is>
      </c>
      <c r="P32" s="6" t="inlineStr">
        <is>
          <t>Closed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>
        <v>46323.85462962963</v>
      </c>
      <c r="I33" s="22" t="n">
        <v>46323.6462962963</v>
      </c>
      <c r="J33" s="17" t="n">
        <v>442.04</v>
      </c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inlineStr">
        <is>
          <t>evening under 5% (watchdog)</t>
        </is>
      </c>
      <c r="P33" s="6" t="inlineStr">
        <is>
          <t>Closed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>
        <v>46323.85447916666</v>
      </c>
      <c r="I34" s="22" t="n">
        <v>46323.64614583334</v>
      </c>
      <c r="J34" s="17" t="n">
        <v>56.34</v>
      </c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inlineStr">
        <is>
          <t>evening under 5% (watchdog)</t>
        </is>
      </c>
      <c r="P34" s="6" t="inlineStr">
        <is>
          <t>Closed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>
        <v>46323.8546875</v>
      </c>
      <c r="I35" s="22" t="n">
        <v>46323.64635416667</v>
      </c>
      <c r="J35" s="17" t="n">
        <v>273.476</v>
      </c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inlineStr">
        <is>
          <t>evening under 5% (watchdog)</t>
        </is>
      </c>
      <c r="P35" s="6" t="inlineStr">
        <is>
          <t>Closed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>
        <v>46323.85440972223</v>
      </c>
      <c r="I37" s="22" t="n">
        <v>46323.64607638889</v>
      </c>
      <c r="J37" s="17" t="n">
        <v>113.556</v>
      </c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inlineStr">
        <is>
          <t>evening under 5% (watchdog)</t>
        </is>
      </c>
      <c r="P37" s="6" t="inlineStr">
        <is>
          <t>Closed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0.057344226</v>
      </c>
      <c r="G38" s="17">
        <f>E38*F38</f>
        <v/>
      </c>
      <c r="H38" s="22" t="n">
        <v>46323.82612268518</v>
      </c>
      <c r="I38" s="22" t="n">
        <v>46323.61778935185</v>
      </c>
      <c r="J38" s="17" t="n">
        <v>1291.566</v>
      </c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inlineStr">
        <is>
          <t>3 green: sell half</t>
        </is>
      </c>
      <c r="P38" s="6" t="inlineStr">
        <is>
          <t>Closed</t>
        </is>
      </c>
    </row>
    <row r="39">
      <c r="A39" s="6" t="inlineStr">
        <is>
          <t>LLY</t>
        </is>
      </c>
      <c r="B39" s="6" t="inlineStr">
        <is>
          <t>Eli Lilly &amp; Co.</t>
        </is>
      </c>
      <c r="C39" s="22" t="n">
        <v>46323.70951388889</v>
      </c>
      <c r="D39" s="22" t="n">
        <v>46323.50118055556</v>
      </c>
      <c r="E39" s="17" t="n">
        <v>1291.586</v>
      </c>
      <c r="F39" s="16" t="n">
        <v>0.057344226</v>
      </c>
      <c r="G39" s="17">
        <f>E39*F39</f>
        <v/>
      </c>
      <c r="H39" s="22" t="n">
        <v>46323.85453703703</v>
      </c>
      <c r="I39" s="22" t="n">
        <v>46323.64620370371</v>
      </c>
      <c r="J39" s="17" t="n">
        <v>1295.462</v>
      </c>
      <c r="K39" s="17">
        <f>IF(ISNUMBER(J39),J39*F39,"")</f>
        <v/>
      </c>
      <c r="L39" s="23">
        <f>IF(ISNUMBER(J39),K39-G39,"")</f>
        <v/>
      </c>
      <c r="M39" s="24">
        <f>IF(ISNUMBER(J39),L39/G39,"")</f>
        <v/>
      </c>
      <c r="N39" s="25">
        <f>IF(ISNUMBER(H39),H39-C39,"")</f>
        <v/>
      </c>
      <c r="O39" s="6" t="inlineStr">
        <is>
          <t>evening under 5% (watchdog)</t>
        </is>
      </c>
      <c r="P39" s="6" t="inlineStr">
        <is>
          <t>Closed</t>
        </is>
      </c>
    </row>
    <row r="40">
      <c r="A40" s="6" t="inlineStr">
        <is>
          <t>REGN</t>
        </is>
      </c>
      <c r="B40" s="6" t="inlineStr">
        <is>
          <t>Regeneron Pharmaceuticals, Inc. Common Stock</t>
        </is>
      </c>
      <c r="C40" s="22" t="n">
        <v>46323.72341435185</v>
      </c>
      <c r="D40" s="22" t="n">
        <v>46323.51508101852</v>
      </c>
      <c r="E40" s="17" t="n">
        <v>811.418</v>
      </c>
      <c r="F40" s="16" t="n">
        <v>0.083680667</v>
      </c>
      <c r="G40" s="17">
        <f>E40*F40</f>
        <v/>
      </c>
      <c r="H40" s="22" t="n">
        <v>46323.74836805555</v>
      </c>
      <c r="I40" s="22" t="n">
        <v>46323.54003472222</v>
      </c>
      <c r="J40" s="17" t="n">
        <v>812.398</v>
      </c>
      <c r="K40" s="17">
        <f>IF(ISNUMBER(J40),J40*F40,"")</f>
        <v/>
      </c>
      <c r="L40" s="23">
        <f>IF(ISNUMBER(J40),K40-G40,"")</f>
        <v/>
      </c>
      <c r="M40" s="24">
        <f>IF(ISNUMBER(J40),L40/G40,"")</f>
        <v/>
      </c>
      <c r="N40" s="25">
        <f>IF(ISNUMBER(H40),H40-C40,"")</f>
        <v/>
      </c>
      <c r="O40" s="6" t="inlineStr">
        <is>
          <t>3 green: sell half</t>
        </is>
      </c>
      <c r="P40" s="6" t="inlineStr">
        <is>
          <t>Closed</t>
        </is>
      </c>
    </row>
    <row r="41">
      <c r="A41" s="6" t="inlineStr">
        <is>
          <t>REGN</t>
        </is>
      </c>
      <c r="B41" s="6" t="inlineStr">
        <is>
          <t>Regeneron Pharmaceuticals, Inc. Common Stock</t>
        </is>
      </c>
      <c r="C41" s="22" t="n">
        <v>46323.72341435185</v>
      </c>
      <c r="D41" s="22" t="n">
        <v>46323.51508101852</v>
      </c>
      <c r="E41" s="17" t="n">
        <v>811.418</v>
      </c>
      <c r="F41" s="16" t="n">
        <v>0.083680668</v>
      </c>
      <c r="G41" s="17">
        <f>E41*F41</f>
        <v/>
      </c>
      <c r="H41" s="22" t="n">
        <v>46323.85471064815</v>
      </c>
      <c r="I41" s="22" t="n">
        <v>46323.64637731481</v>
      </c>
      <c r="J41" s="17" t="n">
        <v>810.48</v>
      </c>
      <c r="K41" s="17">
        <f>IF(ISNUMBER(J41),J41*F41,"")</f>
        <v/>
      </c>
      <c r="L41" s="23">
        <f>IF(ISNUMBER(J41),K41-G41,"")</f>
        <v/>
      </c>
      <c r="M41" s="24">
        <f>IF(ISNUMBER(J41),L41/G41,"")</f>
        <v/>
      </c>
      <c r="N41" s="25">
        <f>IF(ISNUMBER(H41),H41-C41,"")</f>
        <v/>
      </c>
      <c r="O41" s="6" t="inlineStr">
        <is>
          <t>evening under 5% (watchdog)</t>
        </is>
      </c>
      <c r="P41" s="6" t="inlineStr">
        <is>
          <t>Closed</t>
        </is>
      </c>
    </row>
    <row r="42">
      <c r="A42" s="6" t="inlineStr">
        <is>
          <t>SO</t>
        </is>
      </c>
      <c r="B42" s="6" t="inlineStr">
        <is>
          <t>The Southern Company</t>
        </is>
      </c>
      <c r="C42" s="22" t="n">
        <v>46323.74836805555</v>
      </c>
      <c r="D42" s="22" t="n">
        <v>46323.54003472222</v>
      </c>
      <c r="E42" s="17" t="n">
        <v>92.318</v>
      </c>
      <c r="F42" s="16" t="n">
        <v>1.348382763</v>
      </c>
      <c r="G42" s="17">
        <f>E42*F42</f>
        <v/>
      </c>
      <c r="H42" s="22" t="n">
        <v>46323.85474537037</v>
      </c>
      <c r="I42" s="22" t="n">
        <v>46323.64641203704</v>
      </c>
      <c r="J42" s="17" t="n">
        <v>91.59999999999999</v>
      </c>
      <c r="K42" s="17">
        <f>IF(ISNUMBER(J42),J42*F42,"")</f>
        <v/>
      </c>
      <c r="L42" s="23">
        <f>IF(ISNUMBER(J42),K42-G42,"")</f>
        <v/>
      </c>
      <c r="M42" s="24">
        <f>IF(ISNUMBER(J42),L42/G42,"")</f>
        <v/>
      </c>
      <c r="N42" s="25">
        <f>IF(ISNUMBER(H42),H42-C42,"")</f>
        <v/>
      </c>
      <c r="O42" s="6" t="inlineStr">
        <is>
          <t>evening under 5% (watchdog)</t>
        </is>
      </c>
      <c r="P42" s="6" t="inlineStr">
        <is>
          <t>Closed</t>
        </is>
      </c>
    </row>
    <row r="43">
      <c r="A43" s="6" t="inlineStr">
        <is>
          <t>OXY</t>
        </is>
      </c>
      <c r="B43" s="6" t="inlineStr">
        <is>
          <t>Occidental Petroleum Corporation</t>
        </is>
      </c>
      <c r="C43" s="22" t="n">
        <v>46324.60554398148</v>
      </c>
      <c r="D43" s="22" t="n">
        <v>46324.39721064815</v>
      </c>
      <c r="E43" s="17" t="n">
        <v>63.05</v>
      </c>
      <c r="F43" s="16" t="n">
        <v>132.370499603</v>
      </c>
      <c r="G43" s="17">
        <f>E43*F43</f>
        <v/>
      </c>
      <c r="H43" s="22" t="n">
        <v>46324.85458333333</v>
      </c>
      <c r="I43" s="22" t="n">
        <v>46324.64625</v>
      </c>
      <c r="J43" s="17" t="n">
        <v>62.615865</v>
      </c>
      <c r="K43" s="17">
        <f>IF(ISNUMBER(J43),J43*F43,"")</f>
        <v/>
      </c>
      <c r="L43" s="23">
        <f>IF(ISNUMBER(J43),K43-G43,"")</f>
        <v/>
      </c>
      <c r="M43" s="24">
        <f>IF(ISNUMBER(J43),L43/G43,"")</f>
        <v/>
      </c>
      <c r="N43" s="25">
        <f>IF(ISNUMBER(H43),H43-C43,"")</f>
        <v/>
      </c>
      <c r="O43" s="6" t="inlineStr">
        <is>
          <t>evening under 5% (watchdog)</t>
        </is>
      </c>
      <c r="P43" s="6" t="inlineStr">
        <is>
          <t>Closed</t>
        </is>
      </c>
    </row>
    <row r="44">
      <c r="A44" s="6" t="inlineStr">
        <is>
          <t>ADP</t>
        </is>
      </c>
      <c r="B44" s="6" t="inlineStr">
        <is>
          <t>Automatic Data Processing, Inc. Common Stock</t>
        </is>
      </c>
      <c r="C44" s="22" t="n">
        <v>46324.60613425926</v>
      </c>
      <c r="D44" s="22" t="n">
        <v>46324.39780092592</v>
      </c>
      <c r="E44" s="17" t="n">
        <v>288.99</v>
      </c>
      <c r="F44" s="16" t="n">
        <v>28.879753624</v>
      </c>
      <c r="G44" s="17">
        <f>E44*F44</f>
        <v/>
      </c>
      <c r="H44" s="22" t="n">
        <v>46324.8544212963</v>
      </c>
      <c r="I44" s="22" t="n">
        <v>46324.64608796296</v>
      </c>
      <c r="J44" s="17" t="n">
        <v>285.89</v>
      </c>
      <c r="K44" s="17">
        <f>IF(ISNUMBER(J44),J44*F44,"")</f>
        <v/>
      </c>
      <c r="L44" s="23">
        <f>IF(ISNUMBER(J44),K44-G44,"")</f>
        <v/>
      </c>
      <c r="M44" s="24">
        <f>IF(ISNUMBER(J44),L44/G44,"")</f>
        <v/>
      </c>
      <c r="N44" s="25">
        <f>IF(ISNUMBER(H44),H44-C44,"")</f>
        <v/>
      </c>
      <c r="O44" s="6" t="inlineStr">
        <is>
          <t>evening under 5% (watchdog)</t>
        </is>
      </c>
      <c r="P44" s="6" t="inlineStr">
        <is>
          <t>Closed</t>
        </is>
      </c>
    </row>
    <row r="45">
      <c r="A45" s="6" t="inlineStr">
        <is>
          <t>LLY</t>
        </is>
      </c>
      <c r="B45" s="6" t="inlineStr">
        <is>
          <t>Eli Lilly &amp; Co.</t>
        </is>
      </c>
      <c r="C45" s="22" t="n">
        <v>46324.60625</v>
      </c>
      <c r="D45" s="22" t="n">
        <v>46324.39791666667</v>
      </c>
      <c r="E45" s="17" t="n">
        <v>1382.881495</v>
      </c>
      <c r="F45" s="16" t="n">
        <v>6.035195373</v>
      </c>
      <c r="G45" s="17">
        <f>E45*F45</f>
        <v/>
      </c>
      <c r="H45" s="22" t="n">
        <v>46324.68523148148</v>
      </c>
      <c r="I45" s="22" t="n">
        <v>46324.47689814815</v>
      </c>
      <c r="J45" s="17" t="n">
        <v>1370.33</v>
      </c>
      <c r="K45" s="17">
        <f>IF(ISNUMBER(J45),J45*F45,"")</f>
        <v/>
      </c>
      <c r="L45" s="23">
        <f>IF(ISNUMBER(J45),K45-G45,"")</f>
        <v/>
      </c>
      <c r="M45" s="24">
        <f>IF(ISNUMBER(J45),L45/G45,"")</f>
        <v/>
      </c>
      <c r="N45" s="25">
        <f>IF(ISNUMBER(H45),H45-C45,"")</f>
        <v/>
      </c>
      <c r="O45" s="6" t="inlineStr">
        <is>
          <t>trailing stop</t>
        </is>
      </c>
      <c r="P45" s="6" t="inlineStr">
        <is>
          <t>Closed</t>
        </is>
      </c>
    </row>
    <row r="46">
      <c r="A46" s="6" t="inlineStr">
        <is>
          <t>IQV</t>
        </is>
      </c>
      <c r="B46" s="6" t="inlineStr">
        <is>
          <t>IQVIA Holdings Inc.</t>
        </is>
      </c>
      <c r="C46" s="22" t="n">
        <v>46324.60626157407</v>
      </c>
      <c r="D46" s="22" t="n">
        <v>46324.39792824074</v>
      </c>
      <c r="E46" s="17" t="n">
        <v>277.5</v>
      </c>
      <c r="F46" s="16" t="n">
        <v>30.075531531</v>
      </c>
      <c r="G46" s="17">
        <f>E46*F46</f>
        <v/>
      </c>
      <c r="H46" s="22" t="n">
        <v>46324.85445601852</v>
      </c>
      <c r="I46" s="22" t="n">
        <v>46324.64612268518</v>
      </c>
      <c r="J46" s="17" t="n">
        <v>273.44</v>
      </c>
      <c r="K46" s="17">
        <f>IF(ISNUMBER(J46),J46*F46,"")</f>
        <v/>
      </c>
      <c r="L46" s="23">
        <f>IF(ISNUMBER(J46),K46-G46,"")</f>
        <v/>
      </c>
      <c r="M46" s="24">
        <f>IF(ISNUMBER(J46),L46/G46,"")</f>
        <v/>
      </c>
      <c r="N46" s="25">
        <f>IF(ISNUMBER(H46),H46-C46,"")</f>
        <v/>
      </c>
      <c r="O46" s="6" t="inlineStr">
        <is>
          <t>evening under 5% (watchdog)</t>
        </is>
      </c>
      <c r="P46" s="6" t="inlineStr">
        <is>
          <t>Closed</t>
        </is>
      </c>
    </row>
    <row r="47">
      <c r="A47" s="6" t="inlineStr">
        <is>
          <t>ADI</t>
        </is>
      </c>
      <c r="B47" s="6" t="inlineStr">
        <is>
          <t>Analog Devices, Inc. Common Stock</t>
        </is>
      </c>
      <c r="C47" s="22" t="n">
        <v>46324.6062962963</v>
      </c>
      <c r="D47" s="22" t="n">
        <v>46324.39796296296</v>
      </c>
      <c r="E47" s="17" t="n">
        <v>427.19138</v>
      </c>
      <c r="F47" s="16" t="n">
        <v>19.536817436</v>
      </c>
      <c r="G47" s="17">
        <f>E47*F47</f>
        <v/>
      </c>
      <c r="H47" s="22" t="n">
        <v>46324.85439814815</v>
      </c>
      <c r="I47" s="22" t="n">
        <v>46324.64606481481</v>
      </c>
      <c r="J47" s="17" t="n">
        <v>431.109505</v>
      </c>
      <c r="K47" s="17">
        <f>IF(ISNUMBER(J47),J47*F47,"")</f>
        <v/>
      </c>
      <c r="L47" s="23">
        <f>IF(ISNUMBER(J47),K47-G47,"")</f>
        <v/>
      </c>
      <c r="M47" s="24">
        <f>IF(ISNUMBER(J47),L47/G47,"")</f>
        <v/>
      </c>
      <c r="N47" s="25">
        <f>IF(ISNUMBER(H47),H47-C47,"")</f>
        <v/>
      </c>
      <c r="O47" s="6" t="inlineStr">
        <is>
          <t>evening under 5% (watchdog)</t>
        </is>
      </c>
      <c r="P47" s="6" t="inlineStr">
        <is>
          <t>Closed</t>
        </is>
      </c>
    </row>
    <row r="48">
      <c r="A48" s="6" t="inlineStr">
        <is>
          <t>MPC</t>
        </is>
      </c>
      <c r="B48" s="6" t="inlineStr">
        <is>
          <t>MARATHON PETROLEUM CORPORATION</t>
        </is>
      </c>
      <c r="C48" s="22" t="n">
        <v>46324.60640046297</v>
      </c>
      <c r="D48" s="22" t="n">
        <v>46324.39806712963</v>
      </c>
      <c r="E48" s="17" t="n">
        <v>442.839476</v>
      </c>
      <c r="F48" s="16" t="n">
        <v>18.846467973</v>
      </c>
      <c r="G48" s="17">
        <f>E48*F48</f>
        <v/>
      </c>
      <c r="H48" s="22" t="n">
        <v>46324.6747337963</v>
      </c>
      <c r="I48" s="22" t="n">
        <v>46324.46640046296</v>
      </c>
      <c r="J48" s="17" t="n">
        <v>421.33</v>
      </c>
      <c r="K48" s="17">
        <f>IF(ISNUMBER(J48),J48*F48,"")</f>
        <v/>
      </c>
      <c r="L48" s="23">
        <f>IF(ISNUMBER(J48),K48-G48,"")</f>
        <v/>
      </c>
      <c r="M48" s="24">
        <f>IF(ISNUMBER(J48),L48/G48,"")</f>
        <v/>
      </c>
      <c r="N48" s="25">
        <f>IF(ISNUMBER(H48),H48-C48,"")</f>
        <v/>
      </c>
      <c r="O48" s="6" t="inlineStr">
        <is>
          <t>bad day</t>
        </is>
      </c>
      <c r="P48" s="6" t="inlineStr">
        <is>
          <t>Closed</t>
        </is>
      </c>
    </row>
    <row r="49">
      <c r="A49" s="6" t="inlineStr">
        <is>
          <t>ISRG</t>
        </is>
      </c>
      <c r="B49" s="6" t="inlineStr">
        <is>
          <t>Intuitive Surgical, Inc. Common Stock</t>
        </is>
      </c>
      <c r="C49" s="22" t="n">
        <v>46324.60655092593</v>
      </c>
      <c r="D49" s="22" t="n">
        <v>46324.39821759259</v>
      </c>
      <c r="E49" s="17" t="n">
        <v>447.607374</v>
      </c>
      <c r="F49" s="16" t="n">
        <v>18.645716072</v>
      </c>
      <c r="G49" s="17">
        <f>E49*F49</f>
        <v/>
      </c>
      <c r="H49" s="22" t="n">
        <v>46324.8544212963</v>
      </c>
      <c r="I49" s="22" t="n">
        <v>46324.64608796296</v>
      </c>
      <c r="J49" s="17" t="n">
        <v>447.605811</v>
      </c>
      <c r="K49" s="17">
        <f>IF(ISNUMBER(J49),J49*F49,"")</f>
        <v/>
      </c>
      <c r="L49" s="23">
        <f>IF(ISNUMBER(J49),K49-G49,"")</f>
        <v/>
      </c>
      <c r="M49" s="24">
        <f>IF(ISNUMBER(J49),L49/G49,"")</f>
        <v/>
      </c>
      <c r="N49" s="25">
        <f>IF(ISNUMBER(H49),H49-C49,"")</f>
        <v/>
      </c>
      <c r="O49" s="6" t="inlineStr">
        <is>
          <t>evening under 5% (watchdog)</t>
        </is>
      </c>
      <c r="P49" s="6" t="inlineStr">
        <is>
          <t>Closed</t>
        </is>
      </c>
    </row>
    <row r="50">
      <c r="A50" s="6" t="inlineStr">
        <is>
          <t>WTW</t>
        </is>
      </c>
      <c r="B50" s="6" t="inlineStr">
        <is>
          <t>Willis Towers Watson Public Limited Company Ordinary Shares</t>
        </is>
      </c>
      <c r="C50" s="22" t="n">
        <v>46324.60677083334</v>
      </c>
      <c r="D50" s="22" t="n">
        <v>46324.3984375</v>
      </c>
      <c r="E50" s="17" t="n">
        <v>320.034243</v>
      </c>
      <c r="F50" s="16" t="n">
        <v>26.078334421</v>
      </c>
      <c r="G50" s="17">
        <f>E50*F50</f>
        <v/>
      </c>
      <c r="H50" s="22" t="n">
        <v>46324.68523148148</v>
      </c>
      <c r="I50" s="22" t="n">
        <v>46324.47689814815</v>
      </c>
      <c r="J50" s="17" t="n">
        <v>313.76</v>
      </c>
      <c r="K50" s="17">
        <f>IF(ISNUMBER(J50),J50*F50,"")</f>
        <v/>
      </c>
      <c r="L50" s="23">
        <f>IF(ISNUMBER(J50),K50-G50,"")</f>
        <v/>
      </c>
      <c r="M50" s="24">
        <f>IF(ISNUMBER(J50),L50/G50,"")</f>
        <v/>
      </c>
      <c r="N50" s="25">
        <f>IF(ISNUMBER(H50),H50-C50,"")</f>
        <v/>
      </c>
      <c r="O50" s="6" t="inlineStr">
        <is>
          <t>trailing stop</t>
        </is>
      </c>
      <c r="P50" s="6" t="inlineStr">
        <is>
          <t>Closed</t>
        </is>
      </c>
    </row>
    <row r="51">
      <c r="A51" s="6" t="inlineStr">
        <is>
          <t>TMO</t>
        </is>
      </c>
      <c r="B51" s="6" t="inlineStr">
        <is>
          <t>Thermo Fisher Scientific, Inc.</t>
        </is>
      </c>
      <c r="C51" s="22" t="n">
        <v>46324.60688657407</v>
      </c>
      <c r="D51" s="22" t="n">
        <v>46324.39855324074</v>
      </c>
      <c r="E51" s="17" t="n">
        <v>704.202253</v>
      </c>
      <c r="F51" s="16" t="n">
        <v>11.851651941</v>
      </c>
      <c r="G51" s="17">
        <f>E51*F51</f>
        <v/>
      </c>
      <c r="H51" s="22" t="n">
        <v>46324.78953703704</v>
      </c>
      <c r="I51" s="22" t="n">
        <v>46324.5812037037</v>
      </c>
      <c r="J51" s="17" t="n">
        <v>704.25</v>
      </c>
      <c r="K51" s="17">
        <f>IF(ISNUMBER(J51),J51*F51,"")</f>
        <v/>
      </c>
      <c r="L51" s="23">
        <f>IF(ISNUMBER(J51),K51-G51,"")</f>
        <v/>
      </c>
      <c r="M51" s="24">
        <f>IF(ISNUMBER(J51),L51/G51,"")</f>
        <v/>
      </c>
      <c r="N51" s="25">
        <f>IF(ISNUMBER(H51),H51-C51,"")</f>
        <v/>
      </c>
      <c r="O51" s="6" t="inlineStr">
        <is>
          <t>stop-loss (Alpaca order)</t>
        </is>
      </c>
      <c r="P51" s="6" t="inlineStr">
        <is>
          <t>Closed</t>
        </is>
      </c>
    </row>
    <row r="52">
      <c r="A52" s="6" t="inlineStr">
        <is>
          <t>MCK</t>
        </is>
      </c>
      <c r="B52" s="6" t="inlineStr">
        <is>
          <t>McKesson Corporation</t>
        </is>
      </c>
      <c r="C52" s="22" t="n">
        <v>46324.60704861111</v>
      </c>
      <c r="D52" s="22" t="n">
        <v>46324.39871527778</v>
      </c>
      <c r="E52" s="17" t="n">
        <v>975.351467</v>
      </c>
      <c r="F52" s="16" t="n">
        <v>8.556874402</v>
      </c>
      <c r="G52" s="17">
        <f>E52*F52</f>
        <v/>
      </c>
      <c r="H52" s="22" t="n">
        <v>46324.85450231482</v>
      </c>
      <c r="I52" s="22" t="n">
        <v>46324.64616898148</v>
      </c>
      <c r="J52" s="17" t="n">
        <v>972.61</v>
      </c>
      <c r="K52" s="17">
        <f>IF(ISNUMBER(J52),J52*F52,"")</f>
        <v/>
      </c>
      <c r="L52" s="23">
        <f>IF(ISNUMBER(J52),K52-G52,"")</f>
        <v/>
      </c>
      <c r="M52" s="24">
        <f>IF(ISNUMBER(J52),L52/G52,"")</f>
        <v/>
      </c>
      <c r="N52" s="25">
        <f>IF(ISNUMBER(H52),H52-C52,"")</f>
        <v/>
      </c>
      <c r="O52" s="6" t="inlineStr">
        <is>
          <t>evening under 5% (watchdog)</t>
        </is>
      </c>
      <c r="P52" s="6" t="inlineStr">
        <is>
          <t>Closed</t>
        </is>
      </c>
    </row>
    <row r="53">
      <c r="A53" s="6" t="inlineStr">
        <is>
          <t>NTRA</t>
        </is>
      </c>
      <c r="B53" s="6" t="inlineStr">
        <is>
          <t>Natera, Inc. Common Stock</t>
        </is>
      </c>
      <c r="C53" s="22" t="n">
        <v>46324.60716435185</v>
      </c>
      <c r="D53" s="22" t="n">
        <v>46324.39883101852</v>
      </c>
      <c r="E53" s="17" t="n">
        <v>424.844876</v>
      </c>
      <c r="F53" s="16" t="n">
        <v>19.644723215</v>
      </c>
      <c r="G53" s="17">
        <f>E53*F53</f>
        <v/>
      </c>
      <c r="H53" s="22" t="n">
        <v>46324.85451388889</v>
      </c>
      <c r="I53" s="22" t="n">
        <v>46324.64618055556</v>
      </c>
      <c r="J53" s="17" t="n">
        <v>430.31</v>
      </c>
      <c r="K53" s="17">
        <f>IF(ISNUMBER(J53),J53*F53,"")</f>
        <v/>
      </c>
      <c r="L53" s="23">
        <f>IF(ISNUMBER(J53),K53-G53,"")</f>
        <v/>
      </c>
      <c r="M53" s="24">
        <f>IF(ISNUMBER(J53),L53/G53,"")</f>
        <v/>
      </c>
      <c r="N53" s="25">
        <f>IF(ISNUMBER(H53),H53-C53,"")</f>
        <v/>
      </c>
      <c r="O53" s="6" t="inlineStr">
        <is>
          <t>evening under 5% (watchdog)</t>
        </is>
      </c>
      <c r="P53" s="6" t="inlineStr">
        <is>
          <t>Closed</t>
        </is>
      </c>
    </row>
    <row r="54">
      <c r="A54" s="6" t="inlineStr">
        <is>
          <t>MA</t>
        </is>
      </c>
      <c r="B54" s="6" t="inlineStr">
        <is>
          <t>Mastercard Incorporated</t>
        </is>
      </c>
      <c r="C54" s="22" t="n">
        <v>46324.60722222222</v>
      </c>
      <c r="D54" s="22" t="n">
        <v>46324.39888888889</v>
      </c>
      <c r="E54" s="17" t="n">
        <v>639.369739</v>
      </c>
      <c r="F54" s="16" t="n">
        <v>13.053417297</v>
      </c>
      <c r="G54" s="17">
        <f>E54*F54</f>
        <v/>
      </c>
      <c r="H54" s="22" t="n">
        <v>46324.85445601852</v>
      </c>
      <c r="I54" s="22" t="n">
        <v>46324.64612268518</v>
      </c>
      <c r="J54" s="17" t="n">
        <v>637</v>
      </c>
      <c r="K54" s="17">
        <f>IF(ISNUMBER(J54),J54*F54,"")</f>
        <v/>
      </c>
      <c r="L54" s="23">
        <f>IF(ISNUMBER(J54),K54-G54,"")</f>
        <v/>
      </c>
      <c r="M54" s="24">
        <f>IF(ISNUMBER(J54),L54/G54,"")</f>
        <v/>
      </c>
      <c r="N54" s="25">
        <f>IF(ISNUMBER(H54),H54-C54,"")</f>
        <v/>
      </c>
      <c r="O54" s="6" t="inlineStr">
        <is>
          <t>evening under 5% (watchdog)</t>
        </is>
      </c>
      <c r="P54" s="6" t="inlineStr">
        <is>
          <t>Closed</t>
        </is>
      </c>
    </row>
    <row r="55">
      <c r="A55" s="6" t="inlineStr">
        <is>
          <t>VEEV</t>
        </is>
      </c>
      <c r="B55" s="6" t="inlineStr">
        <is>
          <t>Veeva Systems Inc.</t>
        </is>
      </c>
      <c r="C55" s="22" t="n">
        <v>46324.67833333334</v>
      </c>
      <c r="D55" s="22" t="n">
        <v>46324.47</v>
      </c>
      <c r="E55" s="17" t="n">
        <v>311.71</v>
      </c>
      <c r="F55" s="16" t="n">
        <v>2.132719514</v>
      </c>
      <c r="G55" s="17">
        <f>E55*F55</f>
        <v/>
      </c>
      <c r="H55" s="22" t="n">
        <v>46324.85456018519</v>
      </c>
      <c r="I55" s="22" t="n">
        <v>46324.64622685185</v>
      </c>
      <c r="J55" s="17" t="n">
        <v>310.44</v>
      </c>
      <c r="K55" s="17">
        <f>IF(ISNUMBER(J55),J55*F55,"")</f>
        <v/>
      </c>
      <c r="L55" s="23">
        <f>IF(ISNUMBER(J55),K55-G55,"")</f>
        <v/>
      </c>
      <c r="M55" s="24">
        <f>IF(ISNUMBER(J55),L55/G55,"")</f>
        <v/>
      </c>
      <c r="N55" s="25">
        <f>IF(ISNUMBER(H55),H55-C55,"")</f>
        <v/>
      </c>
      <c r="O55" s="6" t="inlineStr">
        <is>
          <t>evening under 5% (watchdog)</t>
        </is>
      </c>
      <c r="P55" s="6" t="inlineStr">
        <is>
          <t>Closed</t>
        </is>
      </c>
    </row>
    <row r="56">
      <c r="A56" s="6" t="inlineStr">
        <is>
          <t>ABBV</t>
        </is>
      </c>
      <c r="B56" s="6" t="inlineStr">
        <is>
          <t>ABBVIE INC.</t>
        </is>
      </c>
      <c r="C56" s="22" t="n">
        <v>46324.67834490741</v>
      </c>
      <c r="D56" s="22" t="n">
        <v>46324.47001157407</v>
      </c>
      <c r="E56" s="17" t="n">
        <v>290.24</v>
      </c>
      <c r="F56" s="16" t="n">
        <v>2.290483737</v>
      </c>
      <c r="G56" s="17">
        <f>E56*F56</f>
        <v/>
      </c>
      <c r="H56" s="22" t="n">
        <v>46324.8543287037</v>
      </c>
      <c r="I56" s="22" t="n">
        <v>46324.64599537037</v>
      </c>
      <c r="J56" s="17" t="n">
        <v>289.706195</v>
      </c>
      <c r="K56" s="17">
        <f>IF(ISNUMBER(J56),J56*F56,"")</f>
        <v/>
      </c>
      <c r="L56" s="23">
        <f>IF(ISNUMBER(J56),K56-G56,"")</f>
        <v/>
      </c>
      <c r="M56" s="24">
        <f>IF(ISNUMBER(J56),L56/G56,"")</f>
        <v/>
      </c>
      <c r="N56" s="25">
        <f>IF(ISNUMBER(H56),H56-C56,"")</f>
        <v/>
      </c>
      <c r="O56" s="6" t="inlineStr">
        <is>
          <t>evening under 5% (watchdog)</t>
        </is>
      </c>
      <c r="P56" s="6" t="inlineStr">
        <is>
          <t>Closed</t>
        </is>
      </c>
    </row>
    <row r="57">
      <c r="A57" s="6" t="inlineStr">
        <is>
          <t>AVTR</t>
        </is>
      </c>
      <c r="B57" s="6" t="inlineStr">
        <is>
          <t>Avantor, Inc.</t>
        </is>
      </c>
      <c r="C57" s="22" t="n">
        <v>46324.67834490741</v>
      </c>
      <c r="D57" s="22" t="n">
        <v>46324.47001157407</v>
      </c>
      <c r="E57" s="17" t="n">
        <v>16.49</v>
      </c>
      <c r="F57" s="16" t="n">
        <v>40.314736203</v>
      </c>
      <c r="G57" s="17">
        <f>E57*F57</f>
        <v/>
      </c>
      <c r="H57" s="22" t="n">
        <v>46324.78903935185</v>
      </c>
      <c r="I57" s="22" t="n">
        <v>46324.58070601852</v>
      </c>
      <c r="J57" s="17" t="n">
        <v>16.54</v>
      </c>
      <c r="K57" s="17">
        <f>IF(ISNUMBER(J57),J57*F57,"")</f>
        <v/>
      </c>
      <c r="L57" s="23">
        <f>IF(ISNUMBER(J57),K57-G57,"")</f>
        <v/>
      </c>
      <c r="M57" s="24">
        <f>IF(ISNUMBER(J57),L57/G57,"")</f>
        <v/>
      </c>
      <c r="N57" s="25">
        <f>IF(ISNUMBER(H57),H57-C57,"")</f>
        <v/>
      </c>
      <c r="O57" s="6" t="inlineStr">
        <is>
          <t>stop-loss (Alpaca order)</t>
        </is>
      </c>
      <c r="P57" s="6" t="inlineStr">
        <is>
          <t>Closed</t>
        </is>
      </c>
    </row>
    <row r="58">
      <c r="A58" s="6" t="inlineStr">
        <is>
          <t>XOM</t>
        </is>
      </c>
      <c r="B58" s="6" t="inlineStr">
        <is>
          <t>ExxonMobil Holdings Corporation</t>
        </is>
      </c>
      <c r="C58" s="22" t="n">
        <v>46324.67834490741</v>
      </c>
      <c r="D58" s="22" t="n">
        <v>46324.47001157407</v>
      </c>
      <c r="E58" s="17" t="n">
        <v>181.72</v>
      </c>
      <c r="F58" s="16" t="n">
        <v>1.829160246</v>
      </c>
      <c r="G58" s="17">
        <f>E58*F58</f>
        <v/>
      </c>
      <c r="H58" s="22" t="n">
        <v>46324.71079861111</v>
      </c>
      <c r="I58" s="22" t="n">
        <v>46324.50246527778</v>
      </c>
      <c r="J58" s="17" t="n">
        <v>182.01</v>
      </c>
      <c r="K58" s="17">
        <f>IF(ISNUMBER(J58),J58*F58,"")</f>
        <v/>
      </c>
      <c r="L58" s="23">
        <f>IF(ISNUMBER(J58),K58-G58,"")</f>
        <v/>
      </c>
      <c r="M58" s="24">
        <f>IF(ISNUMBER(J58),L58/G58,"")</f>
        <v/>
      </c>
      <c r="N58" s="25">
        <f>IF(ISNUMBER(H58),H58-C58,"")</f>
        <v/>
      </c>
      <c r="O58" s="6" t="inlineStr">
        <is>
          <t>3 green: sell half</t>
        </is>
      </c>
      <c r="P58" s="6" t="inlineStr">
        <is>
          <t>Closed</t>
        </is>
      </c>
    </row>
    <row r="59">
      <c r="A59" s="6" t="inlineStr">
        <is>
          <t>XOM</t>
        </is>
      </c>
      <c r="B59" s="6" t="inlineStr">
        <is>
          <t>ExxonMobil Holdings Corporation</t>
        </is>
      </c>
      <c r="C59" s="22" t="n">
        <v>46324.67834490741</v>
      </c>
      <c r="D59" s="22" t="n">
        <v>46324.47001157407</v>
      </c>
      <c r="E59" s="17" t="n">
        <v>181.72</v>
      </c>
      <c r="F59" s="16" t="n">
        <v>1.829160247</v>
      </c>
      <c r="G59" s="17">
        <f>E59*F59</f>
        <v/>
      </c>
      <c r="H59" s="22" t="n">
        <v>46324.84719907407</v>
      </c>
      <c r="I59" s="22" t="n">
        <v>46324.63886574074</v>
      </c>
      <c r="J59" s="17" t="n">
        <v>182.77</v>
      </c>
      <c r="K59" s="17">
        <f>IF(ISNUMBER(J59),J59*F59,"")</f>
        <v/>
      </c>
      <c r="L59" s="23">
        <f>IF(ISNUMBER(J59),K59-G59,"")</f>
        <v/>
      </c>
      <c r="M59" s="24">
        <f>IF(ISNUMBER(J59),L59/G59,"")</f>
        <v/>
      </c>
      <c r="N59" s="25">
        <f>IF(ISNUMBER(H59),H59-C59,"")</f>
        <v/>
      </c>
      <c r="O59" s="6" t="inlineStr">
        <is>
          <t>2 or fewer green</t>
        </is>
      </c>
      <c r="P59" s="6" t="inlineStr">
        <is>
          <t>Closed</t>
        </is>
      </c>
    </row>
    <row r="60">
      <c r="A60" s="6" t="inlineStr">
        <is>
          <t>SHEL</t>
        </is>
      </c>
      <c r="B60" s="6" t="inlineStr">
        <is>
          <t>Shell plc American Depositary Shares (Each represents two Ordinary shares)</t>
        </is>
      </c>
      <c r="C60" s="22" t="n">
        <v>46324.67835648148</v>
      </c>
      <c r="D60" s="22" t="n">
        <v>46324.47002314815</v>
      </c>
      <c r="E60" s="17" t="n">
        <v>107.49</v>
      </c>
      <c r="F60" s="16" t="n">
        <v>6.184668341</v>
      </c>
      <c r="G60" s="17">
        <f>E60*F60</f>
        <v/>
      </c>
      <c r="H60" s="22" t="n">
        <v>46324.85454861111</v>
      </c>
      <c r="I60" s="22" t="n">
        <v>46324.64621527777</v>
      </c>
      <c r="J60" s="17" t="n">
        <v>107.668085</v>
      </c>
      <c r="K60" s="17">
        <f>IF(ISNUMBER(J60),J60*F60,"")</f>
        <v/>
      </c>
      <c r="L60" s="23">
        <f>IF(ISNUMBER(J60),K60-G60,"")</f>
        <v/>
      </c>
      <c r="M60" s="24">
        <f>IF(ISNUMBER(J60),L60/G60,"")</f>
        <v/>
      </c>
      <c r="N60" s="25">
        <f>IF(ISNUMBER(H60),H60-C60,"")</f>
        <v/>
      </c>
      <c r="O60" s="6" t="inlineStr">
        <is>
          <t>evening under 5% (watchdog)</t>
        </is>
      </c>
      <c r="P60" s="6" t="inlineStr">
        <is>
          <t>Closed</t>
        </is>
      </c>
    </row>
    <row r="61">
      <c r="A61" s="6" t="inlineStr">
        <is>
          <t>DUK</t>
        </is>
      </c>
      <c r="B61" s="6" t="inlineStr">
        <is>
          <t>Duke Energy Corporation</t>
        </is>
      </c>
      <c r="C61" s="22" t="n">
        <v>46324.67835648148</v>
      </c>
      <c r="D61" s="22" t="n">
        <v>46324.47002314815</v>
      </c>
      <c r="E61" s="17" t="n">
        <v>125.74</v>
      </c>
      <c r="F61" s="16" t="n">
        <v>5.287020836</v>
      </c>
      <c r="G61" s="17">
        <f>E61*F61</f>
        <v/>
      </c>
      <c r="H61" s="22" t="n">
        <v>46324.85438657407</v>
      </c>
      <c r="I61" s="22" t="n">
        <v>46324.64605324074</v>
      </c>
      <c r="J61" s="17" t="n">
        <v>125.812435</v>
      </c>
      <c r="K61" s="17">
        <f>IF(ISNUMBER(J61),J61*F61,"")</f>
        <v/>
      </c>
      <c r="L61" s="23">
        <f>IF(ISNUMBER(J61),K61-G61,"")</f>
        <v/>
      </c>
      <c r="M61" s="24">
        <f>IF(ISNUMBER(J61),L61/G61,"")</f>
        <v/>
      </c>
      <c r="N61" s="25">
        <f>IF(ISNUMBER(H61),H61-C61,"")</f>
        <v/>
      </c>
      <c r="O61" s="6" t="inlineStr">
        <is>
          <t>evening under 5% (watchdog)</t>
        </is>
      </c>
      <c r="P61" s="6" t="inlineStr">
        <is>
          <t>Closed</t>
        </is>
      </c>
    </row>
    <row r="62">
      <c r="A62" s="6" t="inlineStr">
        <is>
          <t>DT</t>
        </is>
      </c>
      <c r="B62" s="6" t="inlineStr">
        <is>
          <t>Dynatrace, Inc.</t>
        </is>
      </c>
      <c r="C62" s="22" t="n">
        <v>46324.67835648148</v>
      </c>
      <c r="D62" s="22" t="n">
        <v>46324.47002314815</v>
      </c>
      <c r="E62" s="17" t="n">
        <v>60.75</v>
      </c>
      <c r="F62" s="16" t="n">
        <v>10.943045267</v>
      </c>
      <c r="G62" s="17">
        <f>E62*F62</f>
        <v/>
      </c>
      <c r="H62" s="22" t="n">
        <v>46324.85438657407</v>
      </c>
      <c r="I62" s="22" t="n">
        <v>46324.64605324074</v>
      </c>
      <c r="J62" s="17" t="n">
        <v>60.63</v>
      </c>
      <c r="K62" s="17">
        <f>IF(ISNUMBER(J62),J62*F62,"")</f>
        <v/>
      </c>
      <c r="L62" s="23">
        <f>IF(ISNUMBER(J62),K62-G62,"")</f>
        <v/>
      </c>
      <c r="M62" s="24">
        <f>IF(ISNUMBER(J62),L62/G62,"")</f>
        <v/>
      </c>
      <c r="N62" s="25">
        <f>IF(ISNUMBER(H62),H62-C62,"")</f>
        <v/>
      </c>
      <c r="O62" s="6" t="inlineStr">
        <is>
          <t>evening under 5% (watchdog)</t>
        </is>
      </c>
      <c r="P62" s="6" t="inlineStr">
        <is>
          <t>Closed</t>
        </is>
      </c>
    </row>
    <row r="63">
      <c r="A63" s="6" t="inlineStr">
        <is>
          <t>KR</t>
        </is>
      </c>
      <c r="B63" s="6" t="inlineStr">
        <is>
          <t>The Kroger Co.</t>
        </is>
      </c>
      <c r="C63" s="22" t="n">
        <v>46324.67835648148</v>
      </c>
      <c r="D63" s="22" t="n">
        <v>46324.47002314815</v>
      </c>
      <c r="E63" s="17" t="n">
        <v>65.48</v>
      </c>
      <c r="F63" s="16" t="n">
        <v>10.152565668</v>
      </c>
      <c r="G63" s="17">
        <f>E63*F63</f>
        <v/>
      </c>
      <c r="H63" s="22" t="n">
        <v>46324.85443287037</v>
      </c>
      <c r="I63" s="22" t="n">
        <v>46324.64609953704</v>
      </c>
      <c r="J63" s="17" t="n">
        <v>65.98</v>
      </c>
      <c r="K63" s="17">
        <f>IF(ISNUMBER(J63),J63*F63,"")</f>
        <v/>
      </c>
      <c r="L63" s="23">
        <f>IF(ISNUMBER(J63),K63-G63,"")</f>
        <v/>
      </c>
      <c r="M63" s="24">
        <f>IF(ISNUMBER(J63),L63/G63,"")</f>
        <v/>
      </c>
      <c r="N63" s="25">
        <f>IF(ISNUMBER(H63),H63-C63,"")</f>
        <v/>
      </c>
      <c r="O63" s="6" t="inlineStr">
        <is>
          <t>evening under 5% (watchdog)</t>
        </is>
      </c>
      <c r="P63" s="6" t="inlineStr">
        <is>
          <t>Closed</t>
        </is>
      </c>
    </row>
    <row r="64">
      <c r="A64" s="6" t="inlineStr">
        <is>
          <t>ACN</t>
        </is>
      </c>
      <c r="B64" s="6" t="inlineStr">
        <is>
          <t>Accenture PLC</t>
        </is>
      </c>
      <c r="C64" s="22" t="n">
        <v>46324.67835648148</v>
      </c>
      <c r="D64" s="22" t="n">
        <v>46324.47002314815</v>
      </c>
      <c r="E64" s="17" t="n">
        <v>243.84</v>
      </c>
      <c r="F64" s="16" t="n">
        <v>1.363168471</v>
      </c>
      <c r="G64" s="17">
        <f>E64*F64</f>
        <v/>
      </c>
      <c r="H64" s="22" t="n">
        <v>46324.75462962963</v>
      </c>
      <c r="I64" s="22" t="n">
        <v>46324.5462962963</v>
      </c>
      <c r="J64" s="17" t="n">
        <v>245.55</v>
      </c>
      <c r="K64" s="17">
        <f>IF(ISNUMBER(J64),J64*F64,"")</f>
        <v/>
      </c>
      <c r="L64" s="23">
        <f>IF(ISNUMBER(J64),K64-G64,"")</f>
        <v/>
      </c>
      <c r="M64" s="24">
        <f>IF(ISNUMBER(J64),L64/G64,"")</f>
        <v/>
      </c>
      <c r="N64" s="25">
        <f>IF(ISNUMBER(H64),H64-C64,"")</f>
        <v/>
      </c>
      <c r="O64" s="6" t="inlineStr">
        <is>
          <t>3 green: sell half</t>
        </is>
      </c>
      <c r="P64" s="6" t="inlineStr">
        <is>
          <t>Closed</t>
        </is>
      </c>
    </row>
    <row r="65">
      <c r="A65" s="6" t="inlineStr">
        <is>
          <t>ACN</t>
        </is>
      </c>
      <c r="B65" s="6" t="inlineStr">
        <is>
          <t>Accenture PLC</t>
        </is>
      </c>
      <c r="C65" s="22" t="n">
        <v>46324.67835648148</v>
      </c>
      <c r="D65" s="22" t="n">
        <v>46324.47002314815</v>
      </c>
      <c r="E65" s="17" t="n">
        <v>243.84</v>
      </c>
      <c r="F65" s="16" t="n">
        <v>1.363168471</v>
      </c>
      <c r="G65" s="17">
        <f>E65*F65</f>
        <v/>
      </c>
      <c r="H65" s="22" t="n">
        <v>46324.85434027778</v>
      </c>
      <c r="I65" s="22" t="n">
        <v>46324.64600694444</v>
      </c>
      <c r="J65" s="17" t="n">
        <v>245.64</v>
      </c>
      <c r="K65" s="17">
        <f>IF(ISNUMBER(J65),J65*F65,"")</f>
        <v/>
      </c>
      <c r="L65" s="23">
        <f>IF(ISNUMBER(J65),K65-G65,"")</f>
        <v/>
      </c>
      <c r="M65" s="24">
        <f>IF(ISNUMBER(J65),L65/G65,"")</f>
        <v/>
      </c>
      <c r="N65" s="25">
        <f>IF(ISNUMBER(H65),H65-C65,"")</f>
        <v/>
      </c>
      <c r="O65" s="6" t="inlineStr">
        <is>
          <t>evening under 5% (watchdog)</t>
        </is>
      </c>
      <c r="P65" s="6" t="inlineStr">
        <is>
          <t>Closed</t>
        </is>
      </c>
    </row>
    <row r="66">
      <c r="A66" s="6" t="inlineStr">
        <is>
          <t>ILMN</t>
        </is>
      </c>
      <c r="B66" s="6" t="inlineStr">
        <is>
          <t>Illumina, Inc. Common Stock</t>
        </is>
      </c>
      <c r="C66" s="22" t="n">
        <v>46324.67835648148</v>
      </c>
      <c r="D66" s="22" t="n">
        <v>46324.47002314815</v>
      </c>
      <c r="E66" s="17" t="n">
        <v>288.56</v>
      </c>
      <c r="F66" s="16" t="n">
        <v>2.303818963</v>
      </c>
      <c r="G66" s="17">
        <f>E66*F66</f>
        <v/>
      </c>
      <c r="H66" s="22" t="n">
        <v>46324.76877314815</v>
      </c>
      <c r="I66" s="22" t="n">
        <v>46324.56043981481</v>
      </c>
      <c r="J66" s="17" t="n">
        <v>289.14</v>
      </c>
      <c r="K66" s="17">
        <f>IF(ISNUMBER(J66),J66*F66,"")</f>
        <v/>
      </c>
      <c r="L66" s="23">
        <f>IF(ISNUMBER(J66),K66-G66,"")</f>
        <v/>
      </c>
      <c r="M66" s="24">
        <f>IF(ISNUMBER(J66),L66/G66,"")</f>
        <v/>
      </c>
      <c r="N66" s="25">
        <f>IF(ISNUMBER(H66),H66-C66,"")</f>
        <v/>
      </c>
      <c r="O66" s="6" t="inlineStr">
        <is>
          <t>stop-loss (Alpaca order)</t>
        </is>
      </c>
      <c r="P66" s="6" t="inlineStr">
        <is>
          <t>Closed</t>
        </is>
      </c>
    </row>
    <row r="67">
      <c r="A67" s="6" t="inlineStr">
        <is>
          <t>LIN</t>
        </is>
      </c>
      <c r="B67" s="6" t="inlineStr">
        <is>
          <t>Linde plc Ordinary Shares</t>
        </is>
      </c>
      <c r="C67" s="22" t="n">
        <v>46324.67836805555</v>
      </c>
      <c r="D67" s="22" t="n">
        <v>46324.47003472222</v>
      </c>
      <c r="E67" s="17" t="n">
        <v>501.46</v>
      </c>
      <c r="F67" s="16" t="n">
        <v>0.662854464</v>
      </c>
      <c r="G67" s="17">
        <f>E67*F67</f>
        <v/>
      </c>
      <c r="H67" s="22" t="n">
        <v>46324.81153935185</v>
      </c>
      <c r="I67" s="22" t="n">
        <v>46324.60320601852</v>
      </c>
      <c r="J67" s="17" t="n">
        <v>502.818</v>
      </c>
      <c r="K67" s="17">
        <f>IF(ISNUMBER(J67),J67*F67,"")</f>
        <v/>
      </c>
      <c r="L67" s="23">
        <f>IF(ISNUMBER(J67),K67-G67,"")</f>
        <v/>
      </c>
      <c r="M67" s="24">
        <f>IF(ISNUMBER(J67),L67/G67,"")</f>
        <v/>
      </c>
      <c r="N67" s="25">
        <f>IF(ISNUMBER(H67),H67-C67,"")</f>
        <v/>
      </c>
      <c r="O67" s="6" t="inlineStr">
        <is>
          <t>3 green: sell half</t>
        </is>
      </c>
      <c r="P67" s="6" t="inlineStr">
        <is>
          <t>Closed</t>
        </is>
      </c>
    </row>
    <row r="68">
      <c r="A68" s="6" t="inlineStr">
        <is>
          <t>LIN</t>
        </is>
      </c>
      <c r="B68" s="6" t="inlineStr">
        <is>
          <t>Linde plc Ordinary Shares</t>
        </is>
      </c>
      <c r="C68" s="22" t="n">
        <v>46324.67836805555</v>
      </c>
      <c r="D68" s="22" t="n">
        <v>46324.47003472222</v>
      </c>
      <c r="E68" s="17" t="n">
        <v>501.46</v>
      </c>
      <c r="F68" s="16" t="n">
        <v>0.6628544649999999</v>
      </c>
      <c r="G68" s="17">
        <f>E68*F68</f>
        <v/>
      </c>
      <c r="H68" s="22" t="n">
        <v>46324.85443287037</v>
      </c>
      <c r="I68" s="22" t="n">
        <v>46324.64609953704</v>
      </c>
      <c r="J68" s="17" t="n">
        <v>502.036</v>
      </c>
      <c r="K68" s="17">
        <f>IF(ISNUMBER(J68),J68*F68,"")</f>
        <v/>
      </c>
      <c r="L68" s="23">
        <f>IF(ISNUMBER(J68),K68-G68,"")</f>
        <v/>
      </c>
      <c r="M68" s="24">
        <f>IF(ISNUMBER(J68),L68/G68,"")</f>
        <v/>
      </c>
      <c r="N68" s="25">
        <f>IF(ISNUMBER(H68),H68-C68,"")</f>
        <v/>
      </c>
      <c r="O68" s="6" t="inlineStr">
        <is>
          <t>evening under 5% (watchdog)</t>
        </is>
      </c>
      <c r="P68" s="6" t="inlineStr">
        <is>
          <t>Closed</t>
        </is>
      </c>
    </row>
    <row r="69">
      <c r="A69" s="6" t="inlineStr">
        <is>
          <t>EQNR</t>
        </is>
      </c>
      <c r="B69" s="6" t="inlineStr">
        <is>
          <t>Equinor ASA American Depositary Shares (Each Representing One Ordinary Share, nominal value NOK 2.50 per share)</t>
        </is>
      </c>
      <c r="C69" s="22" t="n">
        <v>46324.67839120371</v>
      </c>
      <c r="D69" s="22" t="n">
        <v>46324.47005787037</v>
      </c>
      <c r="E69" s="17" t="n">
        <v>47.09</v>
      </c>
      <c r="F69" s="16" t="n">
        <v>14.117434699</v>
      </c>
      <c r="G69" s="17">
        <f>E69*F69</f>
        <v/>
      </c>
      <c r="H69" s="22" t="n">
        <v>46324.85438657407</v>
      </c>
      <c r="I69" s="22" t="n">
        <v>46324.64605324074</v>
      </c>
      <c r="J69" s="17" t="n">
        <v>47.39</v>
      </c>
      <c r="K69" s="17">
        <f>IF(ISNUMBER(J69),J69*F69,"")</f>
        <v/>
      </c>
      <c r="L69" s="23">
        <f>IF(ISNUMBER(J69),K69-G69,"")</f>
        <v/>
      </c>
      <c r="M69" s="24">
        <f>IF(ISNUMBER(J69),L69/G69,"")</f>
        <v/>
      </c>
      <c r="N69" s="25">
        <f>IF(ISNUMBER(H69),H69-C69,"")</f>
        <v/>
      </c>
      <c r="O69" s="6" t="inlineStr">
        <is>
          <t>evening under 5% (watchdog)</t>
        </is>
      </c>
      <c r="P69" s="6" t="inlineStr">
        <is>
          <t>Closed</t>
        </is>
      </c>
    </row>
    <row r="70">
      <c r="A70" s="6" t="inlineStr">
        <is>
          <t>SO</t>
        </is>
      </c>
      <c r="B70" s="6" t="inlineStr">
        <is>
          <t>The Southern Company</t>
        </is>
      </c>
      <c r="C70" s="22" t="n">
        <v>46324.68998842593</v>
      </c>
      <c r="D70" s="22" t="n">
        <v>46324.48165509259</v>
      </c>
      <c r="E70" s="17" t="n">
        <v>92.97</v>
      </c>
      <c r="F70" s="16" t="n">
        <v>14.744111003</v>
      </c>
      <c r="G70" s="17">
        <f>E70*F70</f>
        <v/>
      </c>
      <c r="H70" s="22" t="n">
        <v>46324.85454861111</v>
      </c>
      <c r="I70" s="22" t="n">
        <v>46324.64621527777</v>
      </c>
      <c r="J70" s="17" t="n">
        <v>93.03</v>
      </c>
      <c r="K70" s="17">
        <f>IF(ISNUMBER(J70),J70*F70,"")</f>
        <v/>
      </c>
      <c r="L70" s="23">
        <f>IF(ISNUMBER(J70),K70-G70,"")</f>
        <v/>
      </c>
      <c r="M70" s="24">
        <f>IF(ISNUMBER(J70),L70/G70,"")</f>
        <v/>
      </c>
      <c r="N70" s="25">
        <f>IF(ISNUMBER(H70),H70-C70,"")</f>
        <v/>
      </c>
      <c r="O70" s="6" t="inlineStr">
        <is>
          <t>evening under 5% (watchdog)</t>
        </is>
      </c>
      <c r="P70" s="6" t="inlineStr">
        <is>
          <t>Closed</t>
        </is>
      </c>
    </row>
    <row r="71">
      <c r="A71" s="6" t="inlineStr">
        <is>
          <t>EQT</t>
        </is>
      </c>
      <c r="B71" s="6" t="inlineStr">
        <is>
          <t>EQT CORP</t>
        </is>
      </c>
      <c r="C71" s="22" t="n">
        <v>46324.69001157407</v>
      </c>
      <c r="D71" s="22" t="n">
        <v>46324.48167824074</v>
      </c>
      <c r="E71" s="17" t="n">
        <v>54.94</v>
      </c>
      <c r="F71" s="16" t="n">
        <v>24.950127411</v>
      </c>
      <c r="G71" s="17">
        <f>E71*F71</f>
        <v/>
      </c>
      <c r="H71" s="22" t="n">
        <v>46324.75886574074</v>
      </c>
      <c r="I71" s="22" t="n">
        <v>46324.5505324074</v>
      </c>
      <c r="J71" s="17" t="n">
        <v>54.75</v>
      </c>
      <c r="K71" s="17">
        <f>IF(ISNUMBER(J71),J71*F71,"")</f>
        <v/>
      </c>
      <c r="L71" s="23">
        <f>IF(ISNUMBER(J71),K71-G71,"")</f>
        <v/>
      </c>
      <c r="M71" s="24">
        <f>IF(ISNUMBER(J71),L71/G71,"")</f>
        <v/>
      </c>
      <c r="N71" s="25">
        <f>IF(ISNUMBER(H71),H71-C71,"")</f>
        <v/>
      </c>
      <c r="O71" s="6" t="inlineStr">
        <is>
          <t>2 or fewer green</t>
        </is>
      </c>
      <c r="P71" s="6" t="inlineStr">
        <is>
          <t>Closed</t>
        </is>
      </c>
    </row>
    <row r="72">
      <c r="A72" s="6" t="inlineStr">
        <is>
          <t>EBAY</t>
        </is>
      </c>
      <c r="B72" s="6" t="inlineStr">
        <is>
          <t>eBay Inc. Common Stock</t>
        </is>
      </c>
      <c r="C72" s="22" t="n">
        <v>46324.7149074074</v>
      </c>
      <c r="D72" s="22" t="n">
        <v>46324.50657407408</v>
      </c>
      <c r="E72" s="17" t="n">
        <v>121.4</v>
      </c>
      <c r="F72" s="16" t="n">
        <v>9.638632618999999</v>
      </c>
      <c r="G72" s="17">
        <f>E72*F72</f>
        <v/>
      </c>
      <c r="H72" s="22" t="n">
        <v>46324.85206018519</v>
      </c>
      <c r="I72" s="22" t="n">
        <v>46324.64372685185</v>
      </c>
      <c r="J72" s="17" t="n">
        <v>122.25</v>
      </c>
      <c r="K72" s="17">
        <f>IF(ISNUMBER(J72),J72*F72,"")</f>
        <v/>
      </c>
      <c r="L72" s="23">
        <f>IF(ISNUMBER(J72),K72-G72,"")</f>
        <v/>
      </c>
      <c r="M72" s="24">
        <f>IF(ISNUMBER(J72),L72/G72,"")</f>
        <v/>
      </c>
      <c r="N72" s="25">
        <f>IF(ISNUMBER(H72),H72-C72,"")</f>
        <v/>
      </c>
      <c r="O72" s="6" t="inlineStr">
        <is>
          <t>stop-loss (Alpaca order)</t>
        </is>
      </c>
      <c r="P72" s="6" t="inlineStr">
        <is>
          <t>Closed</t>
        </is>
      </c>
    </row>
    <row r="73">
      <c r="A73" s="6" t="inlineStr">
        <is>
          <t>REGN</t>
        </is>
      </c>
      <c r="B73" s="6" t="inlineStr">
        <is>
          <t>Regeneron Pharmaceuticals, Inc. Common Stock</t>
        </is>
      </c>
      <c r="C73" s="22" t="n">
        <v>46324.77543981482</v>
      </c>
      <c r="D73" s="22" t="n">
        <v>46324.56710648148</v>
      </c>
      <c r="E73" s="17" t="n">
        <v>812.87</v>
      </c>
      <c r="F73" s="16" t="n">
        <v>1.562144008</v>
      </c>
      <c r="G73" s="17">
        <f>E73*F73</f>
        <v/>
      </c>
      <c r="H73" s="22" t="n">
        <v>46324.85451388889</v>
      </c>
      <c r="I73" s="22" t="n">
        <v>46324.64618055556</v>
      </c>
      <c r="J73" s="17" t="n">
        <v>814.27</v>
      </c>
      <c r="K73" s="17">
        <f>IF(ISNUMBER(J73),J73*F73,"")</f>
        <v/>
      </c>
      <c r="L73" s="23">
        <f>IF(ISNUMBER(J73),K73-G73,"")</f>
        <v/>
      </c>
      <c r="M73" s="24">
        <f>IF(ISNUMBER(J73),L73/G73,"")</f>
        <v/>
      </c>
      <c r="N73" s="25">
        <f>IF(ISNUMBER(H73),H73-C73,"")</f>
        <v/>
      </c>
      <c r="O73" s="6" t="inlineStr">
        <is>
          <t>evening under 5% (watchdog)</t>
        </is>
      </c>
      <c r="P73" s="6" t="inlineStr">
        <is>
          <t>Closed</t>
        </is>
      </c>
    </row>
    <row r="74">
      <c r="A74" s="6" t="inlineStr">
        <is>
          <t>MNST</t>
        </is>
      </c>
      <c r="B74" s="6" t="inlineStr">
        <is>
          <t>Monster Beverage Corporation</t>
        </is>
      </c>
      <c r="C74" s="22" t="n">
        <v>46324.83886574074</v>
      </c>
      <c r="D74" s="22" t="n">
        <v>46324.63053240741</v>
      </c>
      <c r="E74" s="17" t="n">
        <v>46.33</v>
      </c>
      <c r="F74" s="16" t="n">
        <v>41.930066911</v>
      </c>
      <c r="G74" s="17">
        <f>E74*F74</f>
        <v/>
      </c>
      <c r="H74" s="22" t="n">
        <v>46324.85450231482</v>
      </c>
      <c r="I74" s="22" t="n">
        <v>46324.64616898148</v>
      </c>
      <c r="J74" s="17" t="n">
        <v>46.32</v>
      </c>
      <c r="K74" s="17">
        <f>IF(ISNUMBER(J74),J74*F74,"")</f>
        <v/>
      </c>
      <c r="L74" s="23">
        <f>IF(ISNUMBER(J74),K74-G74,"")</f>
        <v/>
      </c>
      <c r="M74" s="24">
        <f>IF(ISNUMBER(J74),L74/G74,"")</f>
        <v/>
      </c>
      <c r="N74" s="25">
        <f>IF(ISNUMBER(H74),H74-C74,"")</f>
        <v/>
      </c>
      <c r="O74" s="6" t="inlineStr">
        <is>
          <t>evening under 5% (watchdog)</t>
        </is>
      </c>
      <c r="P74" s="6" t="inlineStr">
        <is>
          <t>Closed</t>
        </is>
      </c>
    </row>
  </sheetData>
  <conditionalFormatting sqref="L2:M74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2026-10-29T19:31:23Z</dcterms:created>
  <dcterms:modified xsi:type="dcterms:W3CDTF">2026-10-29T19:31:23Z</dcterms:modified>
</cp:coreProperties>
</file>