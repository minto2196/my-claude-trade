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Orders" sheetId="2" state="visible" r:id="rId2"/>
    <sheet name="Round trips" sheetId="3" state="visible" r:id="rId3"/>
    <sheet name="Ru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0">
    <numFmt numFmtId="164" formatCode="yyyy-mm-dd h:mm:ss"/>
    <numFmt numFmtId="165" formatCode="yyyy-mm-dd hh:mm:ss"/>
    <numFmt numFmtId="166" formatCode="0.000000"/>
    <numFmt numFmtId="167" formatCode="$#,##0.00"/>
    <numFmt numFmtId="168" formatCode="yyyy-mm-dd"/>
    <numFmt numFmtId="169" formatCode="yyyy-mm-dd hh:mm"/>
    <numFmt numFmtId="170" formatCode="$#,##0.00;[Red]-$#,##0.00"/>
    <numFmt numFmtId="171" formatCode="0.00%;[Red]-0.00%"/>
    <numFmt numFmtId="172" formatCode="0.0"/>
    <numFmt numFmtId="173" formatCode="0.0%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2805C"/>
      <sz val="10"/>
    </font>
    <font>
      <name val="Arial"/>
      <b val="1"/>
      <color rgb="00C2362F"/>
      <sz val="10"/>
    </font>
    <font>
      <name val="Arial"/>
      <b val="1"/>
      <color rgb="00132130"/>
      <sz val="16"/>
    </font>
    <font>
      <name val="Arial"/>
      <color rgb="00627284"/>
      <sz val="10"/>
    </font>
    <font>
      <name val="Arial"/>
      <b val="1"/>
      <sz val="10"/>
    </font>
    <font>
      <name val="Arial"/>
      <i val="1"/>
      <color rgb="00627284"/>
      <sz val="9"/>
    </font>
  </fonts>
  <fills count="3">
    <fill>
      <patternFill/>
    </fill>
    <fill>
      <patternFill patternType="gray125"/>
    </fill>
    <fill>
      <patternFill patternType="solid">
        <fgColor rgb="000D6E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165" fontId="7" fillId="0" borderId="0" pivotButton="0" quotePrefix="0" xfId="0"/>
    <xf numFmtId="0" fontId="7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1" fontId="7" fillId="0" borderId="0" pivotButton="0" quotePrefix="0" xfId="0"/>
    <xf numFmtId="167" fontId="7" fillId="0" borderId="0" pivotButton="0" quotePrefix="0" xfId="0"/>
    <xf numFmtId="170" fontId="7" fillId="0" borderId="0" pivotButton="0" quotePrefix="0" xfId="0"/>
    <xf numFmtId="173" fontId="7" fillId="0" borderId="0" pivotButton="0" quotePrefix="0" xfId="0"/>
    <xf numFmtId="0" fontId="8" fillId="0" borderId="0" pivotButton="0" quotePrefix="0" xfId="0"/>
    <xf numFmtId="1" fontId="2" fillId="0" borderId="0" pivotButton="0" quotePrefix="0" xfId="0"/>
    <xf numFmtId="165" fontId="2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/>
    </xf>
    <xf numFmtId="166" fontId="2" fillId="0" borderId="0" pivotButton="0" quotePrefix="0" xfId="0"/>
    <xf numFmtId="167" fontId="2" fillId="0" borderId="0" pivotButton="0" quotePrefix="0" xfId="0"/>
    <xf numFmtId="9" fontId="2" fillId="0" borderId="0" pivotButton="0" quotePrefix="0" xfId="0"/>
    <xf numFmtId="10" fontId="2" fillId="0" borderId="0" pivotButton="0" quotePrefix="0" xfId="0"/>
    <xf numFmtId="168" fontId="2" fillId="0" borderId="0" pivotButton="0" quotePrefix="0" xfId="0"/>
    <xf numFmtId="0" fontId="4" fillId="0" borderId="0" pivotButton="0" quotePrefix="0" xfId="0"/>
    <xf numFmtId="169" fontId="2" fillId="0" borderId="0" pivotButton="0" quotePrefix="0" xfId="0"/>
    <xf numFmtId="170" fontId="2" fillId="0" borderId="0" pivotButton="0" quotePrefix="0" xfId="0"/>
    <xf numFmtId="171" fontId="2" fillId="0" borderId="0" pivotButton="0" quotePrefix="0" xfId="0"/>
    <xf numFmtId="172" fontId="2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ont>
        <name val="Arial"/>
        <color rgb="0012805C"/>
        <sz val="1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Orders" displayName="Orders" ref="A1:BA42" headerRowCount="1">
  <autoFilter ref="A1:BA42"/>
  <tableColumns count="53">
    <tableColumn id="1" name="No"/>
    <tableColumn id="2" name="Time Berlin"/>
    <tableColumn id="3" name="Time New York"/>
    <tableColumn id="4" name="Time UTC"/>
    <tableColumn id="5" name="Side"/>
    <tableColumn id="6" name="Symbol"/>
    <tableColumn id="7" name="Company"/>
    <tableColumn id="8" name="Exchange"/>
    <tableColumn id="9" name="Status"/>
    <tableColumn id="10" name="Qty filled"/>
    <tableColumn id="11" name="Avg fill price $"/>
    <tableColumn id="12" name="Fill value $"/>
    <tableColumn id="13" name="Requested $"/>
    <tableColumn id="14" name="Requested qty"/>
    <tableColumn id="15" name="Rule"/>
    <tableColumn id="16" name="Reason"/>
    <tableColumn id="17" name="Greens (of 5)"/>
    <tableColumn id="18" name="Time machine"/>
    <tableColumn id="19" name="TM hit rate"/>
    <tableColumn id="20" name="TM green days"/>
    <tableColumn id="21" name="TM avg 5-day %"/>
    <tableColumn id="22" name="Master switch 6-mo return %"/>
    <tableColumn id="23" name="Agent rank"/>
    <tableColumn id="24" name="1 Data real"/>
    <tableColumn id="25" name="Source spread %"/>
    <tableColumn id="26" name="2 Organic"/>
    <tableColumn id="27" name="Organic score"/>
    <tableColumn id="28" name="Organic flags"/>
    <tableColumn id="29" name="3 Prediction"/>
    <tableColumn id="30" name="Call"/>
    <tableColumn id="31" name="Target $"/>
    <tableColumn id="32" name="Range low $"/>
    <tableColumn id="33" name="Range high $"/>
    <tableColumn id="34" name="Call due"/>
    <tableColumn id="35" name="Confidence"/>
    <tableColumn id="36" name="4 News"/>
    <tableColumn id="37" name="Headlines (72h)"/>
    <tableColumn id="38" name="Top headline"/>
    <tableColumn id="39" name="Price at decision $"/>
    <tableColumn id="40" name="Move today %"/>
    <tableColumn id="41" name="Account equity before $"/>
    <tableColumn id="42" name="Cash before $"/>
    <tableColumn id="43" name="Slot %"/>
    <tableColumn id="44" name="Position qty before"/>
    <tableColumn id="45" name="Avg entry before $"/>
    <tableColumn id="46" name="P/L % before"/>
    <tableColumn id="47" name="Account"/>
    <tableColumn id="48" name="Order ID"/>
    <tableColumn id="49" name="Client order ID"/>
    <tableColumn id="50" name="Decided at (UTC)"/>
    <tableColumn id="51" name="Filled at (UTC)"/>
    <tableColumn id="52" name="Agent run (UTC)"/>
    <tableColumn id="53" name="Error"/>
  </tableColumns>
  <tableStyleInfo name="TableStyleLight9" showRowStripes="1"/>
</table>
</file>

<file path=xl/tables/table2.xml><?xml version="1.0" encoding="utf-8"?>
<table xmlns="http://schemas.openxmlformats.org/spreadsheetml/2006/main" id="2" name="RoundTrips" displayName="RoundTrips" ref="A1:P39" headerRowCount="1">
  <autoFilter ref="A1:P39"/>
  <tableColumns count="16">
    <tableColumn id="1" name="Symbol"/>
    <tableColumn id="2" name="Company"/>
    <tableColumn id="3" name="Bought (Berlin)"/>
    <tableColumn id="4" name="Bought (New York)"/>
    <tableColumn id="5" name="Buy price $"/>
    <tableColumn id="6" name="Qty"/>
    <tableColumn id="7" name="Cost $"/>
    <tableColumn id="8" name="Sold (Berlin)"/>
    <tableColumn id="9" name="Sold (New York)"/>
    <tableColumn id="10" name="Sell price $"/>
    <tableColumn id="11" name="Proceeds $"/>
    <tableColumn id="12" name="P/L $"/>
    <tableColumn id="13" name="P/L %"/>
    <tableColumn id="14" name="Days held"/>
    <tableColumn id="15" name="Exit rule"/>
    <tableColumn id="16" name="Status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6" customWidth="1" min="2" max="2"/>
  </cols>
  <sheetData>
    <row r="1">
      <c r="A1" s="1" t="inlineStr">
        <is>
          <t>Trade Journal · Week 44 · 2026</t>
        </is>
      </c>
    </row>
    <row r="2">
      <c r="A2" s="2" t="inlineStr">
        <is>
          <t>Generated (Berlin)</t>
        </is>
      </c>
      <c r="B2" s="3" t="n">
        <v>46323.72351851852</v>
      </c>
      <c r="C2" s="2" t="inlineStr">
        <is>
          <t>Period</t>
        </is>
      </c>
      <c r="D2" s="4" t="inlineStr">
        <is>
          <t>Mon 26 Oct 2026 to Sun 01 Nov 2026 (New York dates)</t>
        </is>
      </c>
    </row>
    <row r="3">
      <c r="A3" s="2" t="inlineStr">
        <is>
          <t>Generated (New York)</t>
        </is>
      </c>
      <c r="B3" s="3" t="n">
        <v>46323.51518518518</v>
      </c>
    </row>
    <row r="4">
      <c r="A4" s="2" t="inlineStr">
        <is>
          <t>Account</t>
        </is>
      </c>
      <c r="B4" s="4" t="inlineStr">
        <is>
          <t>Paper (practice money)</t>
        </is>
      </c>
    </row>
    <row r="5">
      <c r="A5" s="2" t="inlineStr">
        <is>
          <t>Auto-trader switch</t>
        </is>
      </c>
      <c r="B5" s="4" t="inlineStr">
        <is>
          <t>ON</t>
        </is>
      </c>
    </row>
    <row r="7" ht="30" customHeight="1">
      <c r="A7" s="5" t="inlineStr">
        <is>
          <t>Measure</t>
        </is>
      </c>
      <c r="B7" s="5" t="inlineStr">
        <is>
          <t>Value</t>
        </is>
      </c>
    </row>
    <row r="8">
      <c r="A8" s="6" t="inlineStr">
        <is>
          <t>Orders placed</t>
        </is>
      </c>
      <c r="B8" s="7">
        <f>COUNTIF(Orders!$E$2:$E$42,"BUY")+COUNTIF(Orders!$E$2:$E$42,"SELL")</f>
        <v/>
      </c>
    </row>
    <row r="9">
      <c r="A9" s="6" t="inlineStr">
        <is>
          <t>Buy orders</t>
        </is>
      </c>
      <c r="B9" s="7">
        <f>COUNTIF(Orders!$E$2:$E$42,"BUY")</f>
        <v/>
      </c>
    </row>
    <row r="10">
      <c r="A10" s="6" t="inlineStr">
        <is>
          <t>Sell orders</t>
        </is>
      </c>
      <c r="B10" s="7">
        <f>COUNTIF(Orders!$E$2:$E$42,"SELL")</f>
        <v/>
      </c>
    </row>
    <row r="11">
      <c r="A11" s="6" t="inlineStr">
        <is>
          <t>Filled orders</t>
        </is>
      </c>
      <c r="B11" s="7">
        <f>COUNTIF(Orders!$I$2:$I$42,"filled")</f>
        <v/>
      </c>
    </row>
    <row r="12">
      <c r="A12" s="6" t="inlineStr">
        <is>
          <t>Total bought $</t>
        </is>
      </c>
      <c r="B12" s="8">
        <f>SUMIFS(Orders!$L$2:$L$42,Orders!$E$2:$E$42,"BUY")</f>
        <v/>
      </c>
    </row>
    <row r="13">
      <c r="A13" s="6" t="inlineStr">
        <is>
          <t>Total sold $</t>
        </is>
      </c>
      <c r="B13" s="8">
        <f>SUMIFS(Orders!$L$2:$L$42,Orders!$E$2:$E$42,"SELL")</f>
        <v/>
      </c>
    </row>
    <row r="14">
      <c r="A14" s="6" t="inlineStr">
        <is>
          <t>Closed round trips</t>
        </is>
      </c>
      <c r="B14" s="7">
        <f>COUNTIF('Round trips'!$P$2:$P$39,"Closed")</f>
        <v/>
      </c>
    </row>
    <row r="15">
      <c r="A15" s="6" t="inlineStr">
        <is>
          <t>Open lots</t>
        </is>
      </c>
      <c r="B15" s="7">
        <f>COUNTIF('Round trips'!$P$2:$P$39,"Open")</f>
        <v/>
      </c>
    </row>
    <row r="16">
      <c r="A16" s="6" t="inlineStr">
        <is>
          <t>Realized P/L $</t>
        </is>
      </c>
      <c r="B16" s="9">
        <f>SUM('Round trips'!$L$2:$L$39)</f>
        <v/>
      </c>
    </row>
    <row r="17">
      <c r="A17" s="6" t="inlineStr">
        <is>
          <t>Winning round trips</t>
        </is>
      </c>
      <c r="B17" s="7">
        <f>COUNTIFS('Round trips'!$P$2:$P$39,"Closed",'Round trips'!$L$2:$L$39,"&gt;0")</f>
        <v/>
      </c>
    </row>
    <row r="18">
      <c r="A18" s="6" t="inlineStr">
        <is>
          <t>Win rate</t>
        </is>
      </c>
      <c r="B18" s="10">
        <f>IFERROR(B17/B14,0)</f>
        <v/>
      </c>
    </row>
    <row r="20">
      <c r="A20" s="11" t="inlineStr">
        <is>
          <t>Times: New York is the exchange clock; Berlin is your local time. Round trips match buys to sells first-in-first-out.</t>
        </is>
      </c>
    </row>
    <row r="21">
      <c r="A21" s="11" t="inlineStr">
        <is>
          <t>Source: Alpaca order data recorded by the auto-trader at the moment each order was placed.</t>
        </is>
      </c>
    </row>
  </sheetData>
  <pageMargins left="0.75" right="0.75" top="1" bottom="1" header="0.5" footer="0.5"/>
  <pageSetup orientation="portrait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A42"/>
  <sheetViews>
    <sheetView showGridLines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9" customWidth="1" min="2" max="2"/>
    <col width="19" customWidth="1" min="3" max="3"/>
    <col width="19" customWidth="1" min="4" max="4"/>
    <col width="7" customWidth="1" min="5" max="5"/>
    <col width="9" customWidth="1" min="6" max="6"/>
    <col width="28" customWidth="1" min="7" max="7"/>
    <col width="10" customWidth="1" min="8" max="8"/>
    <col width="11" customWidth="1" min="9" max="9"/>
    <col width="12" customWidth="1" min="10" max="10"/>
    <col width="13" customWidth="1" min="11" max="11"/>
    <col width="13" customWidth="1" min="12" max="12"/>
    <col width="12" customWidth="1" min="13" max="13"/>
    <col width="12" customWidth="1" min="14" max="14"/>
    <col width="18" customWidth="1" min="15" max="15"/>
    <col width="40" customWidth="1" min="16" max="16"/>
    <col width="9" customWidth="1" min="17" max="17"/>
    <col width="11" customWidth="1" min="18" max="18"/>
    <col width="9" customWidth="1" min="19" max="19"/>
    <col width="9" customWidth="1" min="20" max="20"/>
    <col width="10" customWidth="1" min="21" max="21"/>
    <col width="12" customWidth="1" min="22" max="22"/>
    <col width="8" customWidth="1" min="23" max="23"/>
    <col width="10" customWidth="1" min="24" max="24"/>
    <col width="10" customWidth="1" min="25" max="25"/>
    <col width="10" customWidth="1" min="26" max="26"/>
    <col width="9" customWidth="1" min="27" max="27"/>
    <col width="40" customWidth="1" min="28" max="28"/>
    <col width="11" customWidth="1" min="29" max="29"/>
    <col width="7" customWidth="1" min="30" max="30"/>
    <col width="11" customWidth="1" min="31" max="31"/>
    <col width="11" customWidth="1" min="32" max="32"/>
    <col width="11" customWidth="1" min="33" max="33"/>
    <col width="11" customWidth="1" min="34" max="34"/>
    <col width="10" customWidth="1" min="35" max="35"/>
    <col width="9" customWidth="1" min="36" max="36"/>
    <col width="9" customWidth="1" min="37" max="37"/>
    <col width="44" customWidth="1" min="38" max="38"/>
    <col width="13" customWidth="1" min="39" max="39"/>
    <col width="10" customWidth="1" min="40" max="40"/>
    <col width="15" customWidth="1" min="41" max="41"/>
    <col width="13" customWidth="1" min="42" max="42"/>
    <col width="8" customWidth="1" min="43" max="43"/>
    <col width="12" customWidth="1" min="44" max="44"/>
    <col width="13" customWidth="1" min="45" max="45"/>
    <col width="10" customWidth="1" min="46" max="46"/>
    <col width="8" customWidth="1" min="47" max="47"/>
    <col width="38" customWidth="1" min="48" max="48"/>
    <col width="40" customWidth="1" min="49" max="49"/>
    <col width="19" customWidth="1" min="50" max="50"/>
    <col width="19" customWidth="1" min="51" max="51"/>
    <col width="19" customWidth="1" min="52" max="52"/>
    <col width="40" customWidth="1" min="53" max="53"/>
  </cols>
  <sheetData>
    <row r="1" ht="30" customHeight="1">
      <c r="A1" s="5" t="inlineStr">
        <is>
          <t>No</t>
        </is>
      </c>
      <c r="B1" s="5" t="inlineStr">
        <is>
          <t>Time Berlin</t>
        </is>
      </c>
      <c r="C1" s="5" t="inlineStr">
        <is>
          <t>Time New York</t>
        </is>
      </c>
      <c r="D1" s="5" t="inlineStr">
        <is>
          <t>Time UTC</t>
        </is>
      </c>
      <c r="E1" s="5" t="inlineStr">
        <is>
          <t>Side</t>
        </is>
      </c>
      <c r="F1" s="5" t="inlineStr">
        <is>
          <t>Symbol</t>
        </is>
      </c>
      <c r="G1" s="5" t="inlineStr">
        <is>
          <t>Company</t>
        </is>
      </c>
      <c r="H1" s="5" t="inlineStr">
        <is>
          <t>Exchange</t>
        </is>
      </c>
      <c r="I1" s="5" t="inlineStr">
        <is>
          <t>Status</t>
        </is>
      </c>
      <c r="J1" s="5" t="inlineStr">
        <is>
          <t>Qty filled</t>
        </is>
      </c>
      <c r="K1" s="5" t="inlineStr">
        <is>
          <t>Avg fill price $</t>
        </is>
      </c>
      <c r="L1" s="5" t="inlineStr">
        <is>
          <t>Fill value $</t>
        </is>
      </c>
      <c r="M1" s="5" t="inlineStr">
        <is>
          <t>Requested $</t>
        </is>
      </c>
      <c r="N1" s="5" t="inlineStr">
        <is>
          <t>Requested qty</t>
        </is>
      </c>
      <c r="O1" s="5" t="inlineStr">
        <is>
          <t>Rule</t>
        </is>
      </c>
      <c r="P1" s="5" t="inlineStr">
        <is>
          <t>Reason</t>
        </is>
      </c>
      <c r="Q1" s="5" t="inlineStr">
        <is>
          <t>Greens (of 5)</t>
        </is>
      </c>
      <c r="R1" s="5" t="inlineStr">
        <is>
          <t>Time machine</t>
        </is>
      </c>
      <c r="S1" s="5" t="inlineStr">
        <is>
          <t>TM hit rate</t>
        </is>
      </c>
      <c r="T1" s="5" t="inlineStr">
        <is>
          <t>TM green days</t>
        </is>
      </c>
      <c r="U1" s="5" t="inlineStr">
        <is>
          <t>TM avg 5-day %</t>
        </is>
      </c>
      <c r="V1" s="5" t="inlineStr">
        <is>
          <t>Master switch 6-mo return %</t>
        </is>
      </c>
      <c r="W1" s="5" t="inlineStr">
        <is>
          <t>Agent rank</t>
        </is>
      </c>
      <c r="X1" s="5" t="inlineStr">
        <is>
          <t>1 Data real</t>
        </is>
      </c>
      <c r="Y1" s="5" t="inlineStr">
        <is>
          <t>Source spread %</t>
        </is>
      </c>
      <c r="Z1" s="5" t="inlineStr">
        <is>
          <t>2 Organic</t>
        </is>
      </c>
      <c r="AA1" s="5" t="inlineStr">
        <is>
          <t>Organic score</t>
        </is>
      </c>
      <c r="AB1" s="5" t="inlineStr">
        <is>
          <t>Organic flags</t>
        </is>
      </c>
      <c r="AC1" s="5" t="inlineStr">
        <is>
          <t>3 Prediction</t>
        </is>
      </c>
      <c r="AD1" s="5" t="inlineStr">
        <is>
          <t>Call</t>
        </is>
      </c>
      <c r="AE1" s="5" t="inlineStr">
        <is>
          <t>Target $</t>
        </is>
      </c>
      <c r="AF1" s="5" t="inlineStr">
        <is>
          <t>Range low $</t>
        </is>
      </c>
      <c r="AG1" s="5" t="inlineStr">
        <is>
          <t>Range high $</t>
        </is>
      </c>
      <c r="AH1" s="5" t="inlineStr">
        <is>
          <t>Call due</t>
        </is>
      </c>
      <c r="AI1" s="5" t="inlineStr">
        <is>
          <t>Confidence</t>
        </is>
      </c>
      <c r="AJ1" s="5" t="inlineStr">
        <is>
          <t>4 News</t>
        </is>
      </c>
      <c r="AK1" s="5" t="inlineStr">
        <is>
          <t>Headlines (72h)</t>
        </is>
      </c>
      <c r="AL1" s="5" t="inlineStr">
        <is>
          <t>Top headline</t>
        </is>
      </c>
      <c r="AM1" s="5" t="inlineStr">
        <is>
          <t>Price at decision $</t>
        </is>
      </c>
      <c r="AN1" s="5" t="inlineStr">
        <is>
          <t>Move today %</t>
        </is>
      </c>
      <c r="AO1" s="5" t="inlineStr">
        <is>
          <t>Account equity before $</t>
        </is>
      </c>
      <c r="AP1" s="5" t="inlineStr">
        <is>
          <t>Cash before $</t>
        </is>
      </c>
      <c r="AQ1" s="5" t="inlineStr">
        <is>
          <t>Slot %</t>
        </is>
      </c>
      <c r="AR1" s="5" t="inlineStr">
        <is>
          <t>Position qty before</t>
        </is>
      </c>
      <c r="AS1" s="5" t="inlineStr">
        <is>
          <t>Avg entry before $</t>
        </is>
      </c>
      <c r="AT1" s="5" t="inlineStr">
        <is>
          <t>P/L % before</t>
        </is>
      </c>
      <c r="AU1" s="5" t="inlineStr">
        <is>
          <t>Account</t>
        </is>
      </c>
      <c r="AV1" s="5" t="inlineStr">
        <is>
          <t>Order ID</t>
        </is>
      </c>
      <c r="AW1" s="5" t="inlineStr">
        <is>
          <t>Client order ID</t>
        </is>
      </c>
      <c r="AX1" s="5" t="inlineStr">
        <is>
          <t>Decided at (UTC)</t>
        </is>
      </c>
      <c r="AY1" s="5" t="inlineStr">
        <is>
          <t>Filled at (UTC)</t>
        </is>
      </c>
      <c r="AZ1" s="5" t="inlineStr">
        <is>
          <t>Agent run (UTC)</t>
        </is>
      </c>
      <c r="BA1" s="5" t="inlineStr">
        <is>
          <t>Error</t>
        </is>
      </c>
    </row>
    <row r="2">
      <c r="A2" s="12" t="n">
        <v>1</v>
      </c>
      <c r="B2" s="13" t="n">
        <v>46322.71633101852</v>
      </c>
      <c r="C2" s="13" t="n">
        <v>46322.50799768518</v>
      </c>
      <c r="D2" s="13" t="n">
        <v>46322.67466435185</v>
      </c>
      <c r="E2" s="14" t="inlineStr">
        <is>
          <t>BUY</t>
        </is>
      </c>
      <c r="F2" s="6" t="inlineStr">
        <is>
          <t>TMO</t>
        </is>
      </c>
      <c r="G2" s="15" t="inlineStr">
        <is>
          <t>Thermo Fisher Scientific, Inc.</t>
        </is>
      </c>
      <c r="H2" s="6" t="inlineStr">
        <is>
          <t>NYSE</t>
        </is>
      </c>
      <c r="I2" s="6" t="inlineStr">
        <is>
          <t>filled</t>
        </is>
      </c>
      <c r="J2" s="16" t="n">
        <v>11.986804426</v>
      </c>
      <c r="K2" s="17" t="n">
        <v>694.9299999999999</v>
      </c>
      <c r="L2" s="17">
        <f>IF(AND(ISNUMBER(J2),ISNUMBER(K2)),J2*K2,"")</f>
        <v/>
      </c>
      <c r="M2" s="17" t="n">
        <v>8330</v>
      </c>
      <c r="N2" s="16" t="n"/>
      <c r="O2" s="6" t="inlineStr">
        <is>
          <t>4+/5 green</t>
        </is>
      </c>
      <c r="P2" s="15" t="inlineStr">
        <is>
          <t>5 of 5 green, time machine green, rank #1, 8.33% of the $100,000.00 account</t>
        </is>
      </c>
      <c r="Q2" s="12" t="n">
        <v>5</v>
      </c>
      <c r="R2" s="6" t="inlineStr">
        <is>
          <t>ok</t>
        </is>
      </c>
      <c r="S2" s="18" t="n">
        <v>0.667</v>
      </c>
      <c r="T2" s="12" t="n">
        <v>81</v>
      </c>
      <c r="U2" s="19" t="n">
        <v>0.0135</v>
      </c>
      <c r="V2" s="19" t="n">
        <v>-0.0173</v>
      </c>
      <c r="W2" s="12" t="n">
        <v>1</v>
      </c>
      <c r="X2" s="6" t="inlineStr">
        <is>
          <t>ok</t>
        </is>
      </c>
      <c r="Y2" s="19" t="n">
        <v>0.0005999999999999999</v>
      </c>
      <c r="Z2" s="6" t="inlineStr">
        <is>
          <t>ok</t>
        </is>
      </c>
      <c r="AA2" s="12" t="n">
        <v>100</v>
      </c>
      <c r="AB2" s="15" t="n"/>
      <c r="AC2" s="6" t="inlineStr">
        <is>
          <t>ok</t>
        </is>
      </c>
      <c r="AD2" s="6" t="inlineStr">
        <is>
          <t>up</t>
        </is>
      </c>
      <c r="AE2" s="17" t="n">
        <v>704.5304</v>
      </c>
      <c r="AF2" s="17" t="n">
        <v>679.4169000000001</v>
      </c>
      <c r="AG2" s="17" t="n">
        <v>729.644</v>
      </c>
      <c r="AH2" s="20" t="n">
        <v>46329</v>
      </c>
      <c r="AI2" s="18" t="n">
        <v>0.54</v>
      </c>
      <c r="AJ2" s="6" t="inlineStr">
        <is>
          <t>ok</t>
        </is>
      </c>
      <c r="AK2" s="12" t="n">
        <v>1</v>
      </c>
      <c r="AL2" s="15" t="inlineStr">
        <is>
          <t>Thermo Fisher Scientific Experts to Host Webinar on Clario Endpoint Data Solutions</t>
        </is>
      </c>
      <c r="AM2" s="17" t="n">
        <v>694.485</v>
      </c>
      <c r="AN2" s="19" t="n">
        <v>0.0141</v>
      </c>
      <c r="AO2" s="17" t="n">
        <v>100000</v>
      </c>
      <c r="AP2" s="17" t="n">
        <v>100000</v>
      </c>
      <c r="AQ2" s="19" t="n">
        <v>0.0833</v>
      </c>
      <c r="AR2" s="16" t="n"/>
      <c r="AS2" s="17" t="n"/>
      <c r="AT2" s="19" t="n"/>
      <c r="AU2" s="6" t="inlineStr">
        <is>
          <t>paper</t>
        </is>
      </c>
      <c r="AV2" s="6" t="inlineStr">
        <is>
          <t>a17cede0-0466-4ec2-b2e1-ee5ddd1134cf</t>
        </is>
      </c>
      <c r="AW2" s="6" t="inlineStr">
        <is>
          <t>tdagent-buy-TMO-1793117490105</t>
        </is>
      </c>
      <c r="AX2" s="13" t="n">
        <v>46322.67465277778</v>
      </c>
      <c r="AY2" s="13" t="n">
        <v>46322.67466435185</v>
      </c>
      <c r="AZ2" s="13" t="n">
        <v>46322.67446759259</v>
      </c>
      <c r="BA2" s="6" t="n"/>
    </row>
    <row r="3">
      <c r="A3" s="12" t="n">
        <v>2</v>
      </c>
      <c r="B3" s="13" t="n">
        <v>46322.79560185185</v>
      </c>
      <c r="C3" s="13" t="n">
        <v>46322.58726851852</v>
      </c>
      <c r="D3" s="13" t="n">
        <v>46322.75393518519</v>
      </c>
      <c r="E3" s="14" t="inlineStr">
        <is>
          <t>BUY</t>
        </is>
      </c>
      <c r="F3" s="6" t="inlineStr">
        <is>
          <t>SHEL</t>
        </is>
      </c>
      <c r="G3" s="15" t="inlineStr">
        <is>
          <t>Shell plc American Depositary Shares (Each represents two Ordinary shares)</t>
        </is>
      </c>
      <c r="H3" s="6" t="inlineStr">
        <is>
          <t>NYSE</t>
        </is>
      </c>
      <c r="I3" s="6" t="inlineStr">
        <is>
          <t>filled</t>
        </is>
      </c>
      <c r="J3" s="16" t="n">
        <v>79.41675402600001</v>
      </c>
      <c r="K3" s="17" t="n">
        <v>104.93</v>
      </c>
      <c r="L3" s="17">
        <f>IF(AND(ISNUMBER(J3),ISNUMBER(K3)),J3*K3,"")</f>
        <v/>
      </c>
      <c r="M3" s="17" t="n">
        <v>8333.209999999999</v>
      </c>
      <c r="N3" s="16" t="n"/>
      <c r="O3" s="6" t="inlineStr">
        <is>
          <t>4+/5 green</t>
        </is>
      </c>
      <c r="P3" s="15" t="inlineStr">
        <is>
          <t>5 of 5 green, time machine green, rank #1, 8.33% of the $100,038.60 account</t>
        </is>
      </c>
      <c r="Q3" s="12" t="n">
        <v>5</v>
      </c>
      <c r="R3" s="6" t="inlineStr">
        <is>
          <t>ok</t>
        </is>
      </c>
      <c r="S3" s="18" t="n">
        <v>0.652</v>
      </c>
      <c r="T3" s="12" t="n">
        <v>92</v>
      </c>
      <c r="U3" s="19" t="n">
        <v>0.0121</v>
      </c>
      <c r="V3" s="19" t="n">
        <v>-0.0173</v>
      </c>
      <c r="W3" s="12" t="n">
        <v>1</v>
      </c>
      <c r="X3" s="6" t="inlineStr">
        <is>
          <t>ok</t>
        </is>
      </c>
      <c r="Y3" s="19" t="n">
        <v>0</v>
      </c>
      <c r="Z3" s="6" t="inlineStr">
        <is>
          <t>ok</t>
        </is>
      </c>
      <c r="AA3" s="12" t="n">
        <v>100</v>
      </c>
      <c r="AB3" s="15" t="n"/>
      <c r="AC3" s="6" t="inlineStr">
        <is>
          <t>ok</t>
        </is>
      </c>
      <c r="AD3" s="6" t="inlineStr">
        <is>
          <t>up</t>
        </is>
      </c>
      <c r="AE3" s="17" t="n">
        <v>106.142</v>
      </c>
      <c r="AF3" s="17" t="n">
        <v>103.062</v>
      </c>
      <c r="AG3" s="17" t="n">
        <v>109.222</v>
      </c>
      <c r="AH3" s="20" t="n">
        <v>46329</v>
      </c>
      <c r="AI3" s="18" t="n">
        <v>0.58</v>
      </c>
      <c r="AJ3" s="6" t="inlineStr">
        <is>
          <t>ok</t>
        </is>
      </c>
      <c r="AK3" s="12" t="n">
        <v>3</v>
      </c>
      <c r="AL3" s="15" t="inlineStr">
        <is>
          <t>Shell plc Announces Share Buyback Transaction</t>
        </is>
      </c>
      <c r="AM3" s="17" t="n">
        <v>104.91</v>
      </c>
      <c r="AN3" s="19" t="n">
        <v>-0.0187</v>
      </c>
      <c r="AO3" s="17" t="n">
        <v>100038.6</v>
      </c>
      <c r="AP3" s="17" t="n">
        <v>91670.00999999999</v>
      </c>
      <c r="AQ3" s="19" t="n">
        <v>0.0833</v>
      </c>
      <c r="AR3" s="16" t="n"/>
      <c r="AS3" s="17" t="n"/>
      <c r="AT3" s="19" t="n"/>
      <c r="AU3" s="6" t="inlineStr">
        <is>
          <t>paper</t>
        </is>
      </c>
      <c r="AV3" s="6" t="inlineStr">
        <is>
          <t>12db7300-b65a-4371-a182-4bcc07ceda77</t>
        </is>
      </c>
      <c r="AW3" s="6" t="inlineStr">
        <is>
          <t>tdagent-buy-SHEL-1793124338749</t>
        </is>
      </c>
      <c r="AX3" s="13" t="n">
        <v>46322.75391203703</v>
      </c>
      <c r="AY3" s="13" t="n">
        <v>46322.75393518519</v>
      </c>
      <c r="AZ3" s="13" t="n">
        <v>46322.75368055556</v>
      </c>
      <c r="BA3" s="6" t="n"/>
    </row>
    <row r="4">
      <c r="A4" s="12" t="n">
        <v>3</v>
      </c>
      <c r="B4" s="13" t="n">
        <v>46322.8678125</v>
      </c>
      <c r="C4" s="13" t="n">
        <v>46322.65947916666</v>
      </c>
      <c r="D4" s="13" t="n">
        <v>46322.82614583334</v>
      </c>
      <c r="E4" s="21" t="inlineStr">
        <is>
          <t>SELL</t>
        </is>
      </c>
      <c r="F4" s="6" t="inlineStr">
        <is>
          <t>SHEL</t>
        </is>
      </c>
      <c r="G4" s="15" t="inlineStr">
        <is>
          <t>SHEL</t>
        </is>
      </c>
      <c r="H4" s="6" t="inlineStr">
        <is>
          <t>NYSE</t>
        </is>
      </c>
      <c r="I4" s="6" t="inlineStr">
        <is>
          <t>filled</t>
        </is>
      </c>
      <c r="J4" s="16" t="n">
        <v>79.41675402600001</v>
      </c>
      <c r="K4" s="17" t="n">
        <v>104.96</v>
      </c>
      <c r="L4" s="17">
        <f>IF(AND(ISNUMBER(J4),ISNUMBER(K4)),J4*K4,"")</f>
        <v/>
      </c>
      <c r="M4" s="17" t="n"/>
      <c r="N4" s="16" t="n">
        <v>79.41675402600001</v>
      </c>
      <c r="O4" s="6" t="inlineStr">
        <is>
          <t>evening under 5%</t>
        </is>
      </c>
      <c r="P4" s="15" t="inlineStr">
        <is>
          <t>Evening: +0.0% from the buy price (under +5%), sold 10 min before the close</t>
        </is>
      </c>
      <c r="Q4" s="12" t="n">
        <v>5</v>
      </c>
      <c r="R4" s="6" t="inlineStr">
        <is>
          <t>ok</t>
        </is>
      </c>
      <c r="S4" s="18" t="n">
        <v>0.652</v>
      </c>
      <c r="T4" s="12" t="n">
        <v>92</v>
      </c>
      <c r="U4" s="19" t="n">
        <v>0.0121</v>
      </c>
      <c r="V4" s="19" t="n">
        <v>-0.1111</v>
      </c>
      <c r="W4" s="12" t="n"/>
      <c r="X4" s="6" t="inlineStr">
        <is>
          <t>ok</t>
        </is>
      </c>
      <c r="Y4" s="19" t="n">
        <v>0.0001</v>
      </c>
      <c r="Z4" s="6" t="inlineStr">
        <is>
          <t>ok</t>
        </is>
      </c>
      <c r="AA4" s="12" t="n">
        <v>100</v>
      </c>
      <c r="AB4" s="15" t="n"/>
      <c r="AC4" s="6" t="inlineStr">
        <is>
          <t>ok</t>
        </is>
      </c>
      <c r="AD4" s="6" t="inlineStr">
        <is>
          <t>up</t>
        </is>
      </c>
      <c r="AE4" s="17" t="n">
        <v>106.1815</v>
      </c>
      <c r="AF4" s="17" t="n">
        <v>103.1027</v>
      </c>
      <c r="AG4" s="17" t="n">
        <v>109.2604</v>
      </c>
      <c r="AH4" s="20" t="n">
        <v>46329</v>
      </c>
      <c r="AI4" s="18" t="n">
        <v>0.58</v>
      </c>
      <c r="AJ4" s="6" t="inlineStr">
        <is>
          <t>ok</t>
        </is>
      </c>
      <c r="AK4" s="12" t="n">
        <v>5</v>
      </c>
      <c r="AL4" s="15" t="inlineStr">
        <is>
          <t>'Washington discusses Russian deals for US oil majors in Ukraine peace talks' - Financial Times</t>
        </is>
      </c>
      <c r="AM4" s="17" t="n">
        <v>104.94</v>
      </c>
      <c r="AN4" s="19" t="n">
        <v>-0.0183</v>
      </c>
      <c r="AO4" s="17" t="n">
        <v>100056.57</v>
      </c>
      <c r="AP4" s="17" t="n">
        <v>83336.81</v>
      </c>
      <c r="AQ4" s="19" t="n">
        <v>0.0833</v>
      </c>
      <c r="AR4" s="16" t="n">
        <v>79.41675402600001</v>
      </c>
      <c r="AS4" s="17" t="n">
        <v>104.93</v>
      </c>
      <c r="AT4" s="19" t="n">
        <v>0.0003</v>
      </c>
      <c r="AU4" s="6" t="inlineStr">
        <is>
          <t>paper</t>
        </is>
      </c>
      <c r="AV4" s="6" t="inlineStr">
        <is>
          <t>be781221-5b78-4809-97c9-dde0425348d5</t>
        </is>
      </c>
      <c r="AW4" s="6" t="inlineStr">
        <is>
          <t>tdagent-sell-SHEL-1793130578234</t>
        </is>
      </c>
      <c r="AX4" s="13" t="n">
        <v>46322.82613425926</v>
      </c>
      <c r="AY4" s="13" t="n">
        <v>46322.82614583334</v>
      </c>
      <c r="AZ4" s="13" t="n">
        <v>46322.8253587963</v>
      </c>
      <c r="BA4" s="6" t="n"/>
    </row>
    <row r="5">
      <c r="A5" s="12" t="n">
        <v>4</v>
      </c>
      <c r="B5" s="13" t="n">
        <v>46322.86784722222</v>
      </c>
      <c r="C5" s="13" t="n">
        <v>46322.65951388889</v>
      </c>
      <c r="D5" s="13" t="n">
        <v>46322.82618055555</v>
      </c>
      <c r="E5" s="21" t="inlineStr">
        <is>
          <t>SELL</t>
        </is>
      </c>
      <c r="F5" s="6" t="inlineStr">
        <is>
          <t>TMO</t>
        </is>
      </c>
      <c r="G5" s="15" t="inlineStr">
        <is>
          <t>TMO</t>
        </is>
      </c>
      <c r="H5" s="6" t="inlineStr">
        <is>
          <t>NYSE</t>
        </is>
      </c>
      <c r="I5" s="6" t="inlineStr">
        <is>
          <t>filled</t>
        </is>
      </c>
      <c r="J5" s="16" t="n">
        <v>11.986804426</v>
      </c>
      <c r="K5" s="17" t="n">
        <v>699.1666739999999</v>
      </c>
      <c r="L5" s="17">
        <f>IF(AND(ISNUMBER(J5),ISNUMBER(K5)),J5*K5,"")</f>
        <v/>
      </c>
      <c r="M5" s="17" t="n"/>
      <c r="N5" s="16" t="n">
        <v>11.986804426</v>
      </c>
      <c r="O5" s="6" t="inlineStr">
        <is>
          <t>evening under 5%</t>
        </is>
      </c>
      <c r="P5" s="15" t="inlineStr">
        <is>
          <t>Evening: +0.6% from the buy price (under +5%), sold 10 min before the close</t>
        </is>
      </c>
      <c r="Q5" s="12" t="n">
        <v>5</v>
      </c>
      <c r="R5" s="6" t="inlineStr">
        <is>
          <t>ok</t>
        </is>
      </c>
      <c r="S5" s="18" t="n">
        <v>0.667</v>
      </c>
      <c r="T5" s="12" t="n">
        <v>81</v>
      </c>
      <c r="U5" s="19" t="n">
        <v>0.0135</v>
      </c>
      <c r="V5" s="19" t="n">
        <v>-0.1111</v>
      </c>
      <c r="W5" s="12" t="n"/>
      <c r="X5" s="6" t="inlineStr">
        <is>
          <t>ok</t>
        </is>
      </c>
      <c r="Y5" s="19" t="n">
        <v>0.0007000000000000001</v>
      </c>
      <c r="Z5" s="6" t="inlineStr">
        <is>
          <t>ok</t>
        </is>
      </c>
      <c r="AA5" s="12" t="n">
        <v>100</v>
      </c>
      <c r="AB5" s="15" t="n"/>
      <c r="AC5" s="6" t="inlineStr">
        <is>
          <t>ok</t>
        </is>
      </c>
      <c r="AD5" s="6" t="inlineStr">
        <is>
          <t>up</t>
        </is>
      </c>
      <c r="AE5" s="17" t="n">
        <v>710.0776</v>
      </c>
      <c r="AF5" s="17" t="n">
        <v>684.5837</v>
      </c>
      <c r="AG5" s="17" t="n">
        <v>735.5715</v>
      </c>
      <c r="AH5" s="20" t="n">
        <v>46329</v>
      </c>
      <c r="AI5" s="18" t="n">
        <v>0.54</v>
      </c>
      <c r="AJ5" s="6" t="inlineStr">
        <is>
          <t>ok</t>
        </is>
      </c>
      <c r="AK5" s="12" t="n">
        <v>1</v>
      </c>
      <c r="AL5" s="15" t="inlineStr">
        <is>
          <t>Thermo Fisher Scientific Experts to Host Webinar on Clario Endpoint Data Solutions</t>
        </is>
      </c>
      <c r="AM5" s="17" t="n">
        <v>699.8</v>
      </c>
      <c r="AN5" s="19" t="n">
        <v>0.022</v>
      </c>
      <c r="AO5" s="17" t="n">
        <v>100056.57</v>
      </c>
      <c r="AP5" s="17" t="n">
        <v>83336.81</v>
      </c>
      <c r="AQ5" s="19" t="n">
        <v>0.0833</v>
      </c>
      <c r="AR5" s="16" t="n">
        <v>11.986804426</v>
      </c>
      <c r="AS5" s="17" t="n">
        <v>694.9299999999999</v>
      </c>
      <c r="AT5" s="19" t="n">
        <v>0.006500000000000001</v>
      </c>
      <c r="AU5" s="6" t="inlineStr">
        <is>
          <t>paper</t>
        </is>
      </c>
      <c r="AV5" s="6" t="inlineStr">
        <is>
          <t>3df9c111-1586-40fd-a37a-ab0a53ccf9d7</t>
        </is>
      </c>
      <c r="AW5" s="6" t="inlineStr">
        <is>
          <t>tdagent-sell-TMO-1793130578875</t>
        </is>
      </c>
      <c r="AX5" s="13" t="n">
        <v>46322.82613425926</v>
      </c>
      <c r="AY5" s="13" t="n">
        <v>46322.82618055555</v>
      </c>
      <c r="AZ5" s="13" t="n">
        <v>46322.8253587963</v>
      </c>
      <c r="BA5" s="6" t="n"/>
    </row>
    <row r="6">
      <c r="A6" s="12" t="n">
        <v>5</v>
      </c>
      <c r="B6" s="13" t="n">
        <v>46323.60681712963</v>
      </c>
      <c r="C6" s="13" t="n">
        <v>46323.3984837963</v>
      </c>
      <c r="D6" s="13" t="n">
        <v>46323.56515046296</v>
      </c>
      <c r="E6" s="14" t="inlineStr">
        <is>
          <t>BUY</t>
        </is>
      </c>
      <c r="F6" s="6" t="inlineStr">
        <is>
          <t>TMO</t>
        </is>
      </c>
      <c r="G6" s="15" t="inlineStr">
        <is>
          <t>Thermo Fisher Scientific, Inc.</t>
        </is>
      </c>
      <c r="H6" s="6" t="inlineStr">
        <is>
          <t>NYSE</t>
        </is>
      </c>
      <c r="I6" s="6" t="inlineStr">
        <is>
          <t>filled</t>
        </is>
      </c>
      <c r="J6" s="16" t="n">
        <v>11.937064238</v>
      </c>
      <c r="K6" s="17" t="n">
        <v>698.193445</v>
      </c>
      <c r="L6" s="17">
        <f>IF(AND(ISNUMBER(J6),ISNUMBER(K6)),J6*K6,"")</f>
        <v/>
      </c>
      <c r="M6" s="17" t="n">
        <v>8334.389999999999</v>
      </c>
      <c r="N6" s="16" t="n"/>
      <c r="O6" s="6" t="inlineStr">
        <is>
          <t>4+/5 green</t>
        </is>
      </c>
      <c r="P6" s="15" t="inlineStr">
        <is>
          <t>5 of 5 green, time machine green, rank #1, 8.33% of the $100,052.80 account</t>
        </is>
      </c>
      <c r="Q6" s="12" t="n">
        <v>5</v>
      </c>
      <c r="R6" s="6" t="inlineStr">
        <is>
          <t>ok</t>
        </is>
      </c>
      <c r="S6" s="18" t="n">
        <v>0.667</v>
      </c>
      <c r="T6" s="12" t="n">
        <v>81</v>
      </c>
      <c r="U6" s="19" t="n">
        <v>0.0134</v>
      </c>
      <c r="V6" s="19" t="n">
        <v>-0.1111</v>
      </c>
      <c r="W6" s="12" t="n">
        <v>1</v>
      </c>
      <c r="X6" s="6" t="inlineStr">
        <is>
          <t>ok</t>
        </is>
      </c>
      <c r="Y6" s="19" t="n">
        <v>0.001</v>
      </c>
      <c r="Z6" s="6" t="inlineStr">
        <is>
          <t>ok</t>
        </is>
      </c>
      <c r="AA6" s="12" t="n">
        <v>100</v>
      </c>
      <c r="AB6" s="15" t="n"/>
      <c r="AC6" s="6" t="inlineStr">
        <is>
          <t>ok</t>
        </is>
      </c>
      <c r="AD6" s="6" t="inlineStr">
        <is>
          <t>up</t>
        </is>
      </c>
      <c r="AE6" s="17" t="n">
        <v>703.0821</v>
      </c>
      <c r="AF6" s="17" t="n">
        <v>678.0519</v>
      </c>
      <c r="AG6" s="17" t="n">
        <v>728.1123</v>
      </c>
      <c r="AH6" s="20" t="n">
        <v>46330</v>
      </c>
      <c r="AI6" s="18" t="n">
        <v>0.54</v>
      </c>
      <c r="AJ6" s="6" t="inlineStr">
        <is>
          <t>ok</t>
        </is>
      </c>
      <c r="AK6" s="12" t="n">
        <v>1</v>
      </c>
      <c r="AL6" s="15" t="inlineStr">
        <is>
          <t>Thermo Fisher Scientific Experts to Host Webinar on Clario Endpoint Data Solutions</t>
        </is>
      </c>
      <c r="AM6" s="17" t="n">
        <v>692.41</v>
      </c>
      <c r="AN6" s="19" t="n">
        <v>0.012</v>
      </c>
      <c r="AO6" s="17" t="n">
        <v>100052.8</v>
      </c>
      <c r="AP6" s="17" t="n">
        <v>100052.8</v>
      </c>
      <c r="AQ6" s="19" t="n">
        <v>0.0833</v>
      </c>
      <c r="AR6" s="16" t="n"/>
      <c r="AS6" s="17" t="n"/>
      <c r="AT6" s="19" t="n"/>
      <c r="AU6" s="6" t="inlineStr">
        <is>
          <t>paper</t>
        </is>
      </c>
      <c r="AV6" s="6" t="inlineStr">
        <is>
          <t>75ff6654-caa0-43af-a8e3-46fa207bc64a</t>
        </is>
      </c>
      <c r="AW6" s="6" t="inlineStr">
        <is>
          <t>tdagent-buy-TMO-1793194262152</t>
        </is>
      </c>
      <c r="AX6" s="13" t="n">
        <v>46323.56321759259</v>
      </c>
      <c r="AY6" s="13" t="n">
        <v>46323.56515046296</v>
      </c>
      <c r="AZ6" s="13" t="n">
        <v>46323.56269675926</v>
      </c>
      <c r="BA6" s="6" t="n"/>
    </row>
    <row r="7">
      <c r="A7" s="12" t="n">
        <v>6</v>
      </c>
      <c r="B7" s="13" t="n">
        <v>46323.60652777777</v>
      </c>
      <c r="C7" s="13" t="n">
        <v>46323.39819444445</v>
      </c>
      <c r="D7" s="13" t="n">
        <v>46323.56486111111</v>
      </c>
      <c r="E7" s="14" t="inlineStr">
        <is>
          <t>BUY</t>
        </is>
      </c>
      <c r="F7" s="6" t="inlineStr">
        <is>
          <t>DT</t>
        </is>
      </c>
      <c r="G7" s="15" t="inlineStr">
        <is>
          <t>Dynatrace, Inc.</t>
        </is>
      </c>
      <c r="H7" s="6" t="inlineStr">
        <is>
          <t>NYSE</t>
        </is>
      </c>
      <c r="I7" s="6" t="inlineStr">
        <is>
          <t>filled</t>
        </is>
      </c>
      <c r="J7" s="16" t="n">
        <v>130.2953125</v>
      </c>
      <c r="K7" s="17" t="n">
        <v>63.965309</v>
      </c>
      <c r="L7" s="17">
        <f>IF(AND(ISNUMBER(J7),ISNUMBER(K7)),J7*K7,"")</f>
        <v/>
      </c>
      <c r="M7" s="17" t="n">
        <v>8334.389999999999</v>
      </c>
      <c r="N7" s="16" t="n"/>
      <c r="O7" s="6" t="inlineStr">
        <is>
          <t>4+/5 green</t>
        </is>
      </c>
      <c r="P7" s="15" t="inlineStr">
        <is>
          <t>5 of 5 green, time machine green, rank #2, 8.33% of the $100,052.80 account</t>
        </is>
      </c>
      <c r="Q7" s="12" t="n">
        <v>5</v>
      </c>
      <c r="R7" s="6" t="inlineStr">
        <is>
          <t>ok</t>
        </is>
      </c>
      <c r="S7" s="18" t="n">
        <v>0.647</v>
      </c>
      <c r="T7" s="12" t="n">
        <v>51</v>
      </c>
      <c r="U7" s="19" t="n">
        <v>0.0133</v>
      </c>
      <c r="V7" s="19" t="n">
        <v>-0.1111</v>
      </c>
      <c r="W7" s="12" t="n">
        <v>2</v>
      </c>
      <c r="X7" s="6" t="inlineStr">
        <is>
          <t>ok</t>
        </is>
      </c>
      <c r="Y7" s="19" t="n">
        <v>0.0058</v>
      </c>
      <c r="Z7" s="6" t="inlineStr">
        <is>
          <t>ok</t>
        </is>
      </c>
      <c r="AA7" s="12" t="n">
        <v>100</v>
      </c>
      <c r="AB7" s="15" t="n"/>
      <c r="AC7" s="6" t="inlineStr">
        <is>
          <t>ok</t>
        </is>
      </c>
      <c r="AD7" s="6" t="inlineStr">
        <is>
          <t>up</t>
        </is>
      </c>
      <c r="AE7" s="17" t="n">
        <v>65.2238</v>
      </c>
      <c r="AF7" s="17" t="n">
        <v>61.5643</v>
      </c>
      <c r="AG7" s="17" t="n">
        <v>68.8832</v>
      </c>
      <c r="AH7" s="20" t="n">
        <v>46330</v>
      </c>
      <c r="AI7" s="18" t="n">
        <v>0.55</v>
      </c>
      <c r="AJ7" s="6" t="inlineStr">
        <is>
          <t>ok</t>
        </is>
      </c>
      <c r="AK7" s="12" t="n">
        <v>3</v>
      </c>
      <c r="AL7" s="15" t="inlineStr">
        <is>
          <t>Analyst Raises Price Target for Dynatrace</t>
        </is>
      </c>
      <c r="AM7" s="17" t="n">
        <v>63.39</v>
      </c>
      <c r="AN7" s="19" t="n">
        <v>-0.006500000000000001</v>
      </c>
      <c r="AO7" s="17" t="n">
        <v>100052.8</v>
      </c>
      <c r="AP7" s="17" t="n">
        <v>100052.8</v>
      </c>
      <c r="AQ7" s="19" t="n">
        <v>0.0833</v>
      </c>
      <c r="AR7" s="16" t="n"/>
      <c r="AS7" s="17" t="n"/>
      <c r="AT7" s="19" t="n"/>
      <c r="AU7" s="6" t="inlineStr">
        <is>
          <t>paper</t>
        </is>
      </c>
      <c r="AV7" s="6" t="inlineStr">
        <is>
          <t>ea46df9e-798f-47b6-8f79-15985b1f21c1</t>
        </is>
      </c>
      <c r="AW7" s="6" t="inlineStr">
        <is>
          <t>tdagent-buy-DT-1793194262796</t>
        </is>
      </c>
      <c r="AX7" s="13" t="n">
        <v>46323.56321759259</v>
      </c>
      <c r="AY7" s="13" t="n">
        <v>46323.56486111111</v>
      </c>
      <c r="AZ7" s="13" t="n">
        <v>46323.56269675926</v>
      </c>
      <c r="BA7" s="6" t="n"/>
    </row>
    <row r="8">
      <c r="A8" s="12" t="n">
        <v>7</v>
      </c>
      <c r="B8" s="13" t="n">
        <v>46323.60728009259</v>
      </c>
      <c r="C8" s="13" t="n">
        <v>46323.39894675926</v>
      </c>
      <c r="D8" s="13" t="n">
        <v>46323.56561342593</v>
      </c>
      <c r="E8" s="14" t="inlineStr">
        <is>
          <t>BUY</t>
        </is>
      </c>
      <c r="F8" s="6" t="inlineStr">
        <is>
          <t>MNST</t>
        </is>
      </c>
      <c r="G8" s="15" t="inlineStr">
        <is>
          <t>Monster Beverage Corporation</t>
        </is>
      </c>
      <c r="H8" s="6" t="inlineStr">
        <is>
          <t>NASDAQ</t>
        </is>
      </c>
      <c r="I8" s="6" t="inlineStr">
        <is>
          <t>filled</t>
        </is>
      </c>
      <c r="J8" s="16" t="n">
        <v>184.54038504</v>
      </c>
      <c r="K8" s="17" t="n">
        <v>45.162906</v>
      </c>
      <c r="L8" s="17">
        <f>IF(AND(ISNUMBER(J8),ISNUMBER(K8)),J8*K8,"")</f>
        <v/>
      </c>
      <c r="M8" s="17" t="n">
        <v>8334.389999999999</v>
      </c>
      <c r="N8" s="16" t="n"/>
      <c r="O8" s="6" t="inlineStr">
        <is>
          <t>4+/5 green</t>
        </is>
      </c>
      <c r="P8" s="15" t="inlineStr">
        <is>
          <t>5 of 5 green, time machine green, rank #3, 8.33% of the $100,052.80 account</t>
        </is>
      </c>
      <c r="Q8" s="12" t="n">
        <v>5</v>
      </c>
      <c r="R8" s="6" t="inlineStr">
        <is>
          <t>ok</t>
        </is>
      </c>
      <c r="S8" s="18" t="n">
        <v>0.652</v>
      </c>
      <c r="T8" s="12" t="n">
        <v>89</v>
      </c>
      <c r="U8" s="19" t="n">
        <v>0.0089</v>
      </c>
      <c r="V8" s="19" t="n">
        <v>-0.1111</v>
      </c>
      <c r="W8" s="12" t="n">
        <v>3</v>
      </c>
      <c r="X8" s="6" t="inlineStr">
        <is>
          <t>ok</t>
        </is>
      </c>
      <c r="Y8" s="19" t="n">
        <v>0.0071</v>
      </c>
      <c r="Z8" s="6" t="inlineStr">
        <is>
          <t>ok</t>
        </is>
      </c>
      <c r="AA8" s="12" t="n">
        <v>100</v>
      </c>
      <c r="AB8" s="15" t="n"/>
      <c r="AC8" s="6" t="inlineStr">
        <is>
          <t>ok</t>
        </is>
      </c>
      <c r="AD8" s="6" t="inlineStr">
        <is>
          <t>up</t>
        </is>
      </c>
      <c r="AE8" s="17" t="n">
        <v>46.063</v>
      </c>
      <c r="AF8" s="17" t="n">
        <v>44.4805</v>
      </c>
      <c r="AG8" s="17" t="n">
        <v>47.6454</v>
      </c>
      <c r="AH8" s="20" t="n">
        <v>46330</v>
      </c>
      <c r="AI8" s="18" t="n">
        <v>0.53</v>
      </c>
      <c r="AJ8" s="6" t="inlineStr">
        <is>
          <t>ok</t>
        </is>
      </c>
      <c r="AK8" s="12" t="n">
        <v>4</v>
      </c>
      <c r="AL8" s="15" t="inlineStr">
        <is>
          <t>JP Morgan Maintains Neutral on Monster Beverage, Lowers Price Target to $49</t>
        </is>
      </c>
      <c r="AM8" s="17" t="n">
        <v>45.11</v>
      </c>
      <c r="AN8" s="19" t="n">
        <v>-0.0219</v>
      </c>
      <c r="AO8" s="17" t="n">
        <v>100052.8</v>
      </c>
      <c r="AP8" s="17" t="n">
        <v>100052.8</v>
      </c>
      <c r="AQ8" s="19" t="n">
        <v>0.0833</v>
      </c>
      <c r="AR8" s="16" t="n"/>
      <c r="AS8" s="17" t="n"/>
      <c r="AT8" s="19" t="n"/>
      <c r="AU8" s="6" t="inlineStr">
        <is>
          <t>paper</t>
        </is>
      </c>
      <c r="AV8" s="6" t="inlineStr">
        <is>
          <t>1618d695-4afd-42f8-b0f6-9dbbedd13f56</t>
        </is>
      </c>
      <c r="AW8" s="6" t="inlineStr">
        <is>
          <t>tdagent-buy-MNST-1793194263216</t>
        </is>
      </c>
      <c r="AX8" s="13" t="n">
        <v>46323.56322916667</v>
      </c>
      <c r="AY8" s="13" t="n">
        <v>46323.56561342593</v>
      </c>
      <c r="AZ8" s="13" t="n">
        <v>46323.56269675926</v>
      </c>
      <c r="BA8" s="6" t="n"/>
    </row>
    <row r="9">
      <c r="A9" s="12" t="n">
        <v>8</v>
      </c>
      <c r="B9" s="13" t="n">
        <v>46323.60716435185</v>
      </c>
      <c r="C9" s="13" t="n">
        <v>46323.39883101852</v>
      </c>
      <c r="D9" s="13" t="n">
        <v>46323.56549768519</v>
      </c>
      <c r="E9" s="14" t="inlineStr">
        <is>
          <t>BUY</t>
        </is>
      </c>
      <c r="F9" s="6" t="inlineStr">
        <is>
          <t>CBOE</t>
        </is>
      </c>
      <c r="G9" s="15" t="inlineStr">
        <is>
          <t>Cboe Global Markets, Inc.</t>
        </is>
      </c>
      <c r="H9" s="6" t="inlineStr">
        <is>
          <t>BATS</t>
        </is>
      </c>
      <c r="I9" s="6" t="inlineStr">
        <is>
          <t>filled</t>
        </is>
      </c>
      <c r="J9" s="16" t="n">
        <v>25.834717916</v>
      </c>
      <c r="K9" s="17" t="n">
        <v>322.603871</v>
      </c>
      <c r="L9" s="17">
        <f>IF(AND(ISNUMBER(J9),ISNUMBER(K9)),J9*K9,"")</f>
        <v/>
      </c>
      <c r="M9" s="17" t="n">
        <v>8334.389999999999</v>
      </c>
      <c r="N9" s="16" t="n"/>
      <c r="O9" s="6" t="inlineStr">
        <is>
          <t>4+/5 green</t>
        </is>
      </c>
      <c r="P9" s="15" t="inlineStr">
        <is>
          <t>5 of 5 green, time machine green, rank #4, 8.33% of the $100,052.80 account</t>
        </is>
      </c>
      <c r="Q9" s="12" t="n">
        <v>5</v>
      </c>
      <c r="R9" s="6" t="inlineStr">
        <is>
          <t>ok</t>
        </is>
      </c>
      <c r="S9" s="18" t="n">
        <v>0.582</v>
      </c>
      <c r="T9" s="12" t="n">
        <v>67</v>
      </c>
      <c r="U9" s="19" t="n">
        <v>0.0026</v>
      </c>
      <c r="V9" s="19" t="n">
        <v>-0.1111</v>
      </c>
      <c r="W9" s="12" t="n">
        <v>4</v>
      </c>
      <c r="X9" s="6" t="inlineStr">
        <is>
          <t>ok</t>
        </is>
      </c>
      <c r="Y9" s="19" t="n">
        <v>0</v>
      </c>
      <c r="Z9" s="6" t="inlineStr">
        <is>
          <t>ok</t>
        </is>
      </c>
      <c r="AA9" s="12" t="n">
        <v>100</v>
      </c>
      <c r="AB9" s="15" t="n"/>
      <c r="AC9" s="6" t="inlineStr">
        <is>
          <t>ok</t>
        </is>
      </c>
      <c r="AD9" s="6" t="inlineStr">
        <is>
          <t>up</t>
        </is>
      </c>
      <c r="AE9" s="17" t="n">
        <v>331.8585</v>
      </c>
      <c r="AF9" s="17" t="n">
        <v>314.9122</v>
      </c>
      <c r="AG9" s="17" t="n">
        <v>348.8048</v>
      </c>
      <c r="AH9" s="20" t="n">
        <v>46330</v>
      </c>
      <c r="AI9" s="18" t="n">
        <v>0.57</v>
      </c>
      <c r="AJ9" s="6" t="inlineStr">
        <is>
          <t>ok</t>
        </is>
      </c>
      <c r="AK9" s="12" t="n">
        <v>3</v>
      </c>
      <c r="AL9" s="15" t="inlineStr">
        <is>
          <t>JPMorgan Adjusts Price Target on Cboe Global Markets to $332 From $288</t>
        </is>
      </c>
      <c r="AM9" s="17" t="n">
        <v>325.08</v>
      </c>
      <c r="AN9" s="19" t="n">
        <v>-0.0295</v>
      </c>
      <c r="AO9" s="17" t="n">
        <v>100052.8</v>
      </c>
      <c r="AP9" s="17" t="n">
        <v>100052.8</v>
      </c>
      <c r="AQ9" s="19" t="n">
        <v>0.0833</v>
      </c>
      <c r="AR9" s="16" t="n"/>
      <c r="AS9" s="17" t="n"/>
      <c r="AT9" s="19" t="n"/>
      <c r="AU9" s="6" t="inlineStr">
        <is>
          <t>paper</t>
        </is>
      </c>
      <c r="AV9" s="6" t="inlineStr">
        <is>
          <t>9bdcd091-8a94-4f6c-90f4-0dd5ee0bbaf3</t>
        </is>
      </c>
      <c r="AW9" s="6" t="inlineStr">
        <is>
          <t>tdagent-buy-CBOE-1793194263728</t>
        </is>
      </c>
      <c r="AX9" s="13" t="n">
        <v>46323.56322916667</v>
      </c>
      <c r="AY9" s="13" t="n">
        <v>46323.56549768519</v>
      </c>
      <c r="AZ9" s="13" t="n">
        <v>46323.56269675926</v>
      </c>
      <c r="BA9" s="6" t="n"/>
    </row>
    <row r="10">
      <c r="A10" s="12" t="n">
        <v>9</v>
      </c>
      <c r="B10" s="13" t="n">
        <v>46323.60681712963</v>
      </c>
      <c r="C10" s="13" t="n">
        <v>46323.3984837963</v>
      </c>
      <c r="D10" s="13" t="n">
        <v>46323.56515046296</v>
      </c>
      <c r="E10" s="14" t="inlineStr">
        <is>
          <t>BUY</t>
        </is>
      </c>
      <c r="F10" s="6" t="inlineStr">
        <is>
          <t>MCK</t>
        </is>
      </c>
      <c r="G10" s="15" t="inlineStr">
        <is>
          <t>McKesson Corporation</t>
        </is>
      </c>
      <c r="H10" s="6" t="inlineStr">
        <is>
          <t>NYSE</t>
        </is>
      </c>
      <c r="I10" s="6" t="inlineStr">
        <is>
          <t>filled</t>
        </is>
      </c>
      <c r="J10" s="16" t="n">
        <v>8.620135337000001</v>
      </c>
      <c r="K10" s="17" t="n">
        <v>966.85025</v>
      </c>
      <c r="L10" s="17">
        <f>IF(AND(ISNUMBER(J10),ISNUMBER(K10)),J10*K10,"")</f>
        <v/>
      </c>
      <c r="M10" s="17" t="n">
        <v>8334.389999999999</v>
      </c>
      <c r="N10" s="16" t="n"/>
      <c r="O10" s="6" t="inlineStr">
        <is>
          <t>4+/5 green</t>
        </is>
      </c>
      <c r="P10" s="15" t="inlineStr">
        <is>
          <t>5 of 5 green, time machine green, rank #5, 8.33% of the $100,052.80 account</t>
        </is>
      </c>
      <c r="Q10" s="12" t="n">
        <v>5</v>
      </c>
      <c r="R10" s="6" t="inlineStr">
        <is>
          <t>ok</t>
        </is>
      </c>
      <c r="S10" s="18" t="n">
        <v>0.588</v>
      </c>
      <c r="T10" s="12" t="n">
        <v>68</v>
      </c>
      <c r="U10" s="19" t="n">
        <v>0.0019</v>
      </c>
      <c r="V10" s="19" t="n">
        <v>-0.1111</v>
      </c>
      <c r="W10" s="12" t="n">
        <v>5</v>
      </c>
      <c r="X10" s="6" t="inlineStr">
        <is>
          <t>ok</t>
        </is>
      </c>
      <c r="Y10" s="19" t="n">
        <v>0</v>
      </c>
      <c r="Z10" s="6" t="inlineStr">
        <is>
          <t>ok</t>
        </is>
      </c>
      <c r="AA10" s="12" t="n">
        <v>100</v>
      </c>
      <c r="AB10" s="15" t="n"/>
      <c r="AC10" s="6" t="inlineStr">
        <is>
          <t>ok</t>
        </is>
      </c>
      <c r="AD10" s="6" t="inlineStr">
        <is>
          <t>up</t>
        </is>
      </c>
      <c r="AE10" s="17" t="n">
        <v>982.3085</v>
      </c>
      <c r="AF10" s="17" t="n">
        <v>943.6373</v>
      </c>
      <c r="AG10" s="17" t="n">
        <v>1020.9796</v>
      </c>
      <c r="AH10" s="20" t="n">
        <v>46330</v>
      </c>
      <c r="AI10" s="18" t="n">
        <v>0.5600000000000001</v>
      </c>
      <c r="AJ10" s="6" t="inlineStr">
        <is>
          <t>ok</t>
        </is>
      </c>
      <c r="AK10" s="12" t="n">
        <v>2</v>
      </c>
      <c r="AL10" s="15" t="inlineStr">
        <is>
          <t>Here's How Much $100 Invested In McKesson 5 Years Ago Would Be Worth Today</t>
        </is>
      </c>
      <c r="AM10" s="17" t="n">
        <v>966.84</v>
      </c>
      <c r="AN10" s="19" t="n">
        <v>-0.0255</v>
      </c>
      <c r="AO10" s="17" t="n">
        <v>100052.8</v>
      </c>
      <c r="AP10" s="17" t="n">
        <v>100052.8</v>
      </c>
      <c r="AQ10" s="19" t="n">
        <v>0.0833</v>
      </c>
      <c r="AR10" s="16" t="n"/>
      <c r="AS10" s="17" t="n"/>
      <c r="AT10" s="19" t="n"/>
      <c r="AU10" s="6" t="inlineStr">
        <is>
          <t>paper</t>
        </is>
      </c>
      <c r="AV10" s="6" t="inlineStr">
        <is>
          <t>6189b904-77fc-4fcf-b41f-bde0ff4f39db</t>
        </is>
      </c>
      <c r="AW10" s="6" t="inlineStr">
        <is>
          <t>tdagent-buy-MCK-1793194264162</t>
        </is>
      </c>
      <c r="AX10" s="13" t="n">
        <v>46323.56324074074</v>
      </c>
      <c r="AY10" s="13" t="n">
        <v>46323.56515046296</v>
      </c>
      <c r="AZ10" s="13" t="n">
        <v>46323.56269675926</v>
      </c>
      <c r="BA10" s="6" t="n"/>
    </row>
    <row r="11">
      <c r="A11" s="12" t="n">
        <v>10</v>
      </c>
      <c r="B11" s="13" t="n">
        <v>46323.6061574074</v>
      </c>
      <c r="C11" s="13" t="n">
        <v>46323.39782407408</v>
      </c>
      <c r="D11" s="13" t="n">
        <v>46323.56449074074</v>
      </c>
      <c r="E11" s="14" t="inlineStr">
        <is>
          <t>BUY</t>
        </is>
      </c>
      <c r="F11" s="6" t="inlineStr">
        <is>
          <t>SHEL</t>
        </is>
      </c>
      <c r="G11" s="15" t="inlineStr">
        <is>
          <t>Shell plc American Depositary Shares (Each represents two Ordinary shares)</t>
        </is>
      </c>
      <c r="H11" s="6" t="inlineStr">
        <is>
          <t>NYSE</t>
        </is>
      </c>
      <c r="I11" s="6" t="inlineStr">
        <is>
          <t>filled</t>
        </is>
      </c>
      <c r="J11" s="16" t="n">
        <v>79.375047619</v>
      </c>
      <c r="K11" s="17" t="n">
        <v>105</v>
      </c>
      <c r="L11" s="17">
        <f>IF(AND(ISNUMBER(J11),ISNUMBER(K11)),J11*K11,"")</f>
        <v/>
      </c>
      <c r="M11" s="17" t="n">
        <v>8334.389999999999</v>
      </c>
      <c r="N11" s="16" t="n"/>
      <c r="O11" s="6" t="inlineStr">
        <is>
          <t>4+/5 green</t>
        </is>
      </c>
      <c r="P11" s="15" t="inlineStr">
        <is>
          <t>4 of 5 green, time machine green, rank #6, 8.33% of the $100,052.80 account</t>
        </is>
      </c>
      <c r="Q11" s="12" t="n">
        <v>4</v>
      </c>
      <c r="R11" s="6" t="inlineStr">
        <is>
          <t>ok</t>
        </is>
      </c>
      <c r="S11" s="18" t="n">
        <v>0.659</v>
      </c>
      <c r="T11" s="12" t="n">
        <v>91</v>
      </c>
      <c r="U11" s="19" t="n">
        <v>0.0124</v>
      </c>
      <c r="V11" s="19" t="n">
        <v>-0.1111</v>
      </c>
      <c r="W11" s="12" t="n">
        <v>6</v>
      </c>
      <c r="X11" s="6" t="inlineStr">
        <is>
          <t>ok</t>
        </is>
      </c>
      <c r="Y11" s="19" t="n">
        <v>0.0025</v>
      </c>
      <c r="Z11" s="6" t="inlineStr">
        <is>
          <t>ok</t>
        </is>
      </c>
      <c r="AA11" s="12" t="n">
        <v>100</v>
      </c>
      <c r="AB11" s="15" t="n"/>
      <c r="AC11" s="6" t="inlineStr">
        <is>
          <t>ok</t>
        </is>
      </c>
      <c r="AD11" s="6" t="inlineStr">
        <is>
          <t>up</t>
        </is>
      </c>
      <c r="AE11" s="17" t="n">
        <v>106.0087</v>
      </c>
      <c r="AF11" s="17" t="n">
        <v>102.9244</v>
      </c>
      <c r="AG11" s="17" t="n">
        <v>109.093</v>
      </c>
      <c r="AH11" s="20" t="n">
        <v>46330</v>
      </c>
      <c r="AI11" s="18" t="n">
        <v>0.58</v>
      </c>
      <c r="AJ11" s="6" t="inlineStr">
        <is>
          <t>watch</t>
        </is>
      </c>
      <c r="AK11" s="12" t="n">
        <v>8</v>
      </c>
      <c r="AL11" s="15" t="inlineStr">
        <is>
          <t>'Washington discusses Russian deals for US oil majors in Ukraine peace talks' - Financial Times</t>
        </is>
      </c>
      <c r="AM11" s="17" t="n">
        <v>105.04</v>
      </c>
      <c r="AN11" s="19" t="n">
        <v>-0.02</v>
      </c>
      <c r="AO11" s="17" t="n">
        <v>100052.8</v>
      </c>
      <c r="AP11" s="17" t="n">
        <v>100052.8</v>
      </c>
      <c r="AQ11" s="19" t="n">
        <v>0.0833</v>
      </c>
      <c r="AR11" s="16" t="n"/>
      <c r="AS11" s="17" t="n"/>
      <c r="AT11" s="19" t="n"/>
      <c r="AU11" s="6" t="inlineStr">
        <is>
          <t>paper</t>
        </is>
      </c>
      <c r="AV11" s="6" t="inlineStr">
        <is>
          <t>f2c34f6c-bb0c-4e2b-a829-02bd8a0f636f</t>
        </is>
      </c>
      <c r="AW11" s="6" t="inlineStr">
        <is>
          <t>tdagent-buy-SHEL-1793194264666</t>
        </is>
      </c>
      <c r="AX11" s="13" t="n">
        <v>46323.56324074074</v>
      </c>
      <c r="AY11" s="13" t="n">
        <v>46323.56449074074</v>
      </c>
      <c r="AZ11" s="13" t="n">
        <v>46323.56269675926</v>
      </c>
      <c r="BA11" s="6" t="n"/>
    </row>
    <row r="12">
      <c r="A12" s="12" t="n">
        <v>11</v>
      </c>
      <c r="B12" s="13" t="n">
        <v>46323.60633101852</v>
      </c>
      <c r="C12" s="13" t="n">
        <v>46323.39799768518</v>
      </c>
      <c r="D12" s="13" t="n">
        <v>46323.56466435185</v>
      </c>
      <c r="E12" s="14" t="inlineStr">
        <is>
          <t>BUY</t>
        </is>
      </c>
      <c r="F12" s="6" t="inlineStr">
        <is>
          <t>ILMN</t>
        </is>
      </c>
      <c r="G12" s="15" t="inlineStr">
        <is>
          <t>Illumina, Inc. Common Stock</t>
        </is>
      </c>
      <c r="H12" s="6" t="inlineStr">
        <is>
          <t>NASDAQ</t>
        </is>
      </c>
      <c r="I12" s="6" t="inlineStr">
        <is>
          <t>filled</t>
        </is>
      </c>
      <c r="J12" s="16" t="n">
        <v>29.659715302</v>
      </c>
      <c r="K12" s="17" t="n">
        <v>281</v>
      </c>
      <c r="L12" s="17">
        <f>IF(AND(ISNUMBER(J12),ISNUMBER(K12)),J12*K12,"")</f>
        <v/>
      </c>
      <c r="M12" s="17" t="n">
        <v>8334.389999999999</v>
      </c>
      <c r="N12" s="16" t="n"/>
      <c r="O12" s="6" t="inlineStr">
        <is>
          <t>4+/5 green</t>
        </is>
      </c>
      <c r="P12" s="15" t="inlineStr">
        <is>
          <t>5 of 5 green, time machine green, rank #9, 8.33% of the $100,052.80 account</t>
        </is>
      </c>
      <c r="Q12" s="12" t="n">
        <v>5</v>
      </c>
      <c r="R12" s="6" t="inlineStr">
        <is>
          <t>ok</t>
        </is>
      </c>
      <c r="S12" s="18" t="n">
        <v>0.592</v>
      </c>
      <c r="T12" s="12" t="n">
        <v>125</v>
      </c>
      <c r="U12" s="19" t="n">
        <v>0.0155</v>
      </c>
      <c r="V12" s="19" t="n">
        <v>-0.1111</v>
      </c>
      <c r="W12" s="12" t="n">
        <v>9</v>
      </c>
      <c r="X12" s="6" t="inlineStr">
        <is>
          <t>ok</t>
        </is>
      </c>
      <c r="Y12" s="19" t="n">
        <v>0.0029</v>
      </c>
      <c r="Z12" s="6" t="inlineStr">
        <is>
          <t>ok</t>
        </is>
      </c>
      <c r="AA12" s="12" t="n">
        <v>100</v>
      </c>
      <c r="AB12" s="15" t="n"/>
      <c r="AC12" s="6" t="inlineStr">
        <is>
          <t>ok</t>
        </is>
      </c>
      <c r="AD12" s="6" t="inlineStr">
        <is>
          <t>up</t>
        </is>
      </c>
      <c r="AE12" s="17" t="n">
        <v>287.5899</v>
      </c>
      <c r="AF12" s="17" t="n">
        <v>267.1151</v>
      </c>
      <c r="AG12" s="17" t="n">
        <v>308.0647</v>
      </c>
      <c r="AH12" s="20" t="n">
        <v>46330</v>
      </c>
      <c r="AI12" s="18" t="n">
        <v>0.53</v>
      </c>
      <c r="AJ12" s="6" t="inlineStr">
        <is>
          <t>ok</t>
        </is>
      </c>
      <c r="AK12" s="12" t="n">
        <v>0</v>
      </c>
      <c r="AL12" s="15" t="n"/>
      <c r="AM12" s="17" t="n">
        <v>278.6</v>
      </c>
      <c r="AN12" s="19" t="n">
        <v>0.0312</v>
      </c>
      <c r="AO12" s="17" t="n">
        <v>100052.8</v>
      </c>
      <c r="AP12" s="17" t="n">
        <v>100052.8</v>
      </c>
      <c r="AQ12" s="19" t="n">
        <v>0.0833</v>
      </c>
      <c r="AR12" s="16" t="n"/>
      <c r="AS12" s="17" t="n"/>
      <c r="AT12" s="19" t="n"/>
      <c r="AU12" s="6" t="inlineStr">
        <is>
          <t>paper</t>
        </is>
      </c>
      <c r="AV12" s="6" t="inlineStr">
        <is>
          <t>980f13dc-f907-4bd4-b53e-7799785ee61b</t>
        </is>
      </c>
      <c r="AW12" s="6" t="inlineStr">
        <is>
          <t>tdagent-buy-ILMN-1793194266066</t>
        </is>
      </c>
      <c r="AX12" s="13" t="n">
        <v>46323.56326388889</v>
      </c>
      <c r="AY12" s="13" t="n">
        <v>46323.56466435185</v>
      </c>
      <c r="AZ12" s="13" t="n">
        <v>46323.56269675926</v>
      </c>
      <c r="BA12" s="6" t="n"/>
    </row>
    <row r="13">
      <c r="A13" s="12" t="n">
        <v>12</v>
      </c>
      <c r="B13" s="13" t="n">
        <v>46323.60626157407</v>
      </c>
      <c r="C13" s="13" t="n">
        <v>46323.39792824074</v>
      </c>
      <c r="D13" s="13" t="n">
        <v>46323.56459490741</v>
      </c>
      <c r="E13" s="14" t="inlineStr">
        <is>
          <t>BUY</t>
        </is>
      </c>
      <c r="F13" s="6" t="inlineStr">
        <is>
          <t>UTHR</t>
        </is>
      </c>
      <c r="G13" s="15" t="inlineStr">
        <is>
          <t>United Therapeutics Corporation Common Stock</t>
        </is>
      </c>
      <c r="H13" s="6" t="inlineStr">
        <is>
          <t>NASDAQ</t>
        </is>
      </c>
      <c r="I13" s="6" t="inlineStr">
        <is>
          <t>filled</t>
        </is>
      </c>
      <c r="J13" s="16" t="n">
        <v>14.223462352</v>
      </c>
      <c r="K13" s="17" t="n">
        <v>585.96</v>
      </c>
      <c r="L13" s="17">
        <f>IF(AND(ISNUMBER(J13),ISNUMBER(K13)),J13*K13,"")</f>
        <v/>
      </c>
      <c r="M13" s="17" t="n">
        <v>8334.389999999999</v>
      </c>
      <c r="N13" s="16" t="n"/>
      <c r="O13" s="6" t="inlineStr">
        <is>
          <t>4+/5 green</t>
        </is>
      </c>
      <c r="P13" s="15" t="inlineStr">
        <is>
          <t>5 of 5 green, time machine green, rank #10, 8.33% of the $100,052.80 account</t>
        </is>
      </c>
      <c r="Q13" s="12" t="n">
        <v>5</v>
      </c>
      <c r="R13" s="6" t="inlineStr">
        <is>
          <t>ok</t>
        </is>
      </c>
      <c r="S13" s="18" t="n">
        <v>0.569</v>
      </c>
      <c r="T13" s="12" t="n">
        <v>51</v>
      </c>
      <c r="U13" s="19" t="n">
        <v>0.0118</v>
      </c>
      <c r="V13" s="19" t="n">
        <v>-0.1111</v>
      </c>
      <c r="W13" s="12" t="n">
        <v>10</v>
      </c>
      <c r="X13" s="6" t="inlineStr">
        <is>
          <t>ok</t>
        </is>
      </c>
      <c r="Y13" s="19" t="n">
        <v>0</v>
      </c>
      <c r="Z13" s="6" t="inlineStr">
        <is>
          <t>ok</t>
        </is>
      </c>
      <c r="AA13" s="12" t="n">
        <v>100</v>
      </c>
      <c r="AB13" s="15" t="n"/>
      <c r="AC13" s="6" t="inlineStr">
        <is>
          <t>ok</t>
        </is>
      </c>
      <c r="AD13" s="6" t="inlineStr">
        <is>
          <t>up</t>
        </is>
      </c>
      <c r="AE13" s="17" t="n">
        <v>604.2865</v>
      </c>
      <c r="AF13" s="17" t="n">
        <v>571.9452</v>
      </c>
      <c r="AG13" s="17" t="n">
        <v>636.6278</v>
      </c>
      <c r="AH13" s="20" t="n">
        <v>46330</v>
      </c>
      <c r="AI13" s="18" t="n">
        <v>0.55</v>
      </c>
      <c r="AJ13" s="6" t="inlineStr">
        <is>
          <t>ok</t>
        </is>
      </c>
      <c r="AK13" s="12" t="n">
        <v>0</v>
      </c>
      <c r="AL13" s="15" t="n"/>
      <c r="AM13" s="17" t="n">
        <v>591.35</v>
      </c>
      <c r="AN13" s="19" t="n">
        <v>-0.0023</v>
      </c>
      <c r="AO13" s="17" t="n">
        <v>100052.8</v>
      </c>
      <c r="AP13" s="17" t="n">
        <v>100052.8</v>
      </c>
      <c r="AQ13" s="19" t="n">
        <v>0.0833</v>
      </c>
      <c r="AR13" s="16" t="n"/>
      <c r="AS13" s="17" t="n"/>
      <c r="AT13" s="19" t="n"/>
      <c r="AU13" s="6" t="inlineStr">
        <is>
          <t>paper</t>
        </is>
      </c>
      <c r="AV13" s="6" t="inlineStr">
        <is>
          <t>4bf78c8b-c039-475a-999c-1bf4c352180c</t>
        </is>
      </c>
      <c r="AW13" s="6" t="inlineStr">
        <is>
          <t>tdagent-buy-UTHR-1793194266530</t>
        </is>
      </c>
      <c r="AX13" s="13" t="n">
        <v>46323.56326388889</v>
      </c>
      <c r="AY13" s="13" t="n">
        <v>46323.56459490741</v>
      </c>
      <c r="AZ13" s="13" t="n">
        <v>46323.56269675926</v>
      </c>
      <c r="BA13" s="6" t="n"/>
    </row>
    <row r="14">
      <c r="A14" s="12" t="n">
        <v>13</v>
      </c>
      <c r="B14" s="13" t="n">
        <v>46323.60640046297</v>
      </c>
      <c r="C14" s="13" t="n">
        <v>46323.39806712963</v>
      </c>
      <c r="D14" s="13" t="n">
        <v>46323.56473379629</v>
      </c>
      <c r="E14" s="14" t="inlineStr">
        <is>
          <t>BUY</t>
        </is>
      </c>
      <c r="F14" s="6" t="inlineStr">
        <is>
          <t>EBAY</t>
        </is>
      </c>
      <c r="G14" s="15" t="inlineStr">
        <is>
          <t>eBay Inc. Common Stock</t>
        </is>
      </c>
      <c r="H14" s="6" t="inlineStr">
        <is>
          <t>NASDAQ</t>
        </is>
      </c>
      <c r="I14" s="6" t="inlineStr">
        <is>
          <t>filled</t>
        </is>
      </c>
      <c r="J14" s="16" t="n">
        <v>70.13268309</v>
      </c>
      <c r="K14" s="17" t="n">
        <v>118.837319</v>
      </c>
      <c r="L14" s="17">
        <f>IF(AND(ISNUMBER(J14),ISNUMBER(K14)),J14*K14,"")</f>
        <v/>
      </c>
      <c r="M14" s="17" t="n">
        <v>8334.389999999999</v>
      </c>
      <c r="N14" s="16" t="n"/>
      <c r="O14" s="6" t="inlineStr">
        <is>
          <t>4+/5 green</t>
        </is>
      </c>
      <c r="P14" s="15" t="inlineStr">
        <is>
          <t>5 of 5 green, time machine green, rank #11, 8.33% of the $100,052.80 account</t>
        </is>
      </c>
      <c r="Q14" s="12" t="n">
        <v>5</v>
      </c>
      <c r="R14" s="6" t="inlineStr">
        <is>
          <t>ok</t>
        </is>
      </c>
      <c r="S14" s="18" t="n">
        <v>0.55</v>
      </c>
      <c r="T14" s="12" t="n">
        <v>40</v>
      </c>
      <c r="U14" s="19" t="n">
        <v>0.005500000000000001</v>
      </c>
      <c r="V14" s="19" t="n">
        <v>-0.1111</v>
      </c>
      <c r="W14" s="12" t="n">
        <v>11</v>
      </c>
      <c r="X14" s="6" t="inlineStr">
        <is>
          <t>ok</t>
        </is>
      </c>
      <c r="Y14" s="19" t="n">
        <v>0.0044</v>
      </c>
      <c r="Z14" s="6" t="inlineStr">
        <is>
          <t>ok</t>
        </is>
      </c>
      <c r="AA14" s="12" t="n">
        <v>100</v>
      </c>
      <c r="AB14" s="15" t="n"/>
      <c r="AC14" s="6" t="inlineStr">
        <is>
          <t>ok</t>
        </is>
      </c>
      <c r="AD14" s="6" t="inlineStr">
        <is>
          <t>up</t>
        </is>
      </c>
      <c r="AE14" s="17" t="n">
        <v>119.7698</v>
      </c>
      <c r="AF14" s="17" t="n">
        <v>114.8704</v>
      </c>
      <c r="AG14" s="17" t="n">
        <v>124.6691</v>
      </c>
      <c r="AH14" s="20" t="n">
        <v>46330</v>
      </c>
      <c r="AI14" s="18" t="n">
        <v>0.55</v>
      </c>
      <c r="AJ14" s="6" t="inlineStr">
        <is>
          <t>ok</t>
        </is>
      </c>
      <c r="AK14" s="12" t="n">
        <v>5</v>
      </c>
      <c r="AL14" s="15" t="inlineStr">
        <is>
          <t>UBS Maintains Neutral on eBay, Raises Price Target to $131</t>
        </is>
      </c>
      <c r="AM14" s="17" t="n">
        <v>118.33</v>
      </c>
      <c r="AN14" s="19" t="n">
        <v>-0.0067</v>
      </c>
      <c r="AO14" s="17" t="n">
        <v>100052.8</v>
      </c>
      <c r="AP14" s="17" t="n">
        <v>100052.8</v>
      </c>
      <c r="AQ14" s="19" t="n">
        <v>0.0833</v>
      </c>
      <c r="AR14" s="16" t="n"/>
      <c r="AS14" s="17" t="n"/>
      <c r="AT14" s="19" t="n"/>
      <c r="AU14" s="6" t="inlineStr">
        <is>
          <t>paper</t>
        </is>
      </c>
      <c r="AV14" s="6" t="inlineStr">
        <is>
          <t>8449c305-1c64-40c9-a24f-a14b858d4888</t>
        </is>
      </c>
      <c r="AW14" s="6" t="inlineStr">
        <is>
          <t>tdagent-buy-EBAY-1793194267013</t>
        </is>
      </c>
      <c r="AX14" s="13" t="n">
        <v>46323.56327546296</v>
      </c>
      <c r="AY14" s="13" t="n">
        <v>46323.56473379629</v>
      </c>
      <c r="AZ14" s="13" t="n">
        <v>46323.56269675926</v>
      </c>
      <c r="BA14" s="6" t="n"/>
    </row>
    <row r="15">
      <c r="A15" s="12" t="n">
        <v>14</v>
      </c>
      <c r="B15" s="13" t="n">
        <v>46323.60721064815</v>
      </c>
      <c r="C15" s="13" t="n">
        <v>46323.39887731482</v>
      </c>
      <c r="D15" s="13" t="n">
        <v>46323.56554398148</v>
      </c>
      <c r="E15" s="14" t="inlineStr">
        <is>
          <t>BUY</t>
        </is>
      </c>
      <c r="F15" s="6" t="inlineStr">
        <is>
          <t>OXY</t>
        </is>
      </c>
      <c r="G15" s="15" t="inlineStr">
        <is>
          <t>Occidental Petroleum Corporation</t>
        </is>
      </c>
      <c r="H15" s="6" t="inlineStr">
        <is>
          <t>NYSE</t>
        </is>
      </c>
      <c r="I15" s="6" t="inlineStr">
        <is>
          <t>filled</t>
        </is>
      </c>
      <c r="J15" s="16" t="n">
        <v>132.295201779</v>
      </c>
      <c r="K15" s="17" t="n">
        <v>62.998354</v>
      </c>
      <c r="L15" s="17">
        <f>IF(AND(ISNUMBER(J15),ISNUMBER(K15)),J15*K15,"")</f>
        <v/>
      </c>
      <c r="M15" s="17" t="n">
        <v>8334.389999999999</v>
      </c>
      <c r="N15" s="16" t="n"/>
      <c r="O15" s="6" t="inlineStr">
        <is>
          <t>4+/5 green</t>
        </is>
      </c>
      <c r="P15" s="15" t="inlineStr">
        <is>
          <t>4 of 5 green, time machine green, rank #12, 8.33% of the $100,052.80 account</t>
        </is>
      </c>
      <c r="Q15" s="12" t="n">
        <v>4</v>
      </c>
      <c r="R15" s="6" t="inlineStr">
        <is>
          <t>ok</t>
        </is>
      </c>
      <c r="S15" s="18" t="n">
        <v>0.621</v>
      </c>
      <c r="T15" s="12" t="n">
        <v>58</v>
      </c>
      <c r="U15" s="19" t="n">
        <v>0.0105</v>
      </c>
      <c r="V15" s="19" t="n">
        <v>-0.1111</v>
      </c>
      <c r="W15" s="12" t="n">
        <v>12</v>
      </c>
      <c r="X15" s="6" t="inlineStr">
        <is>
          <t>ok</t>
        </is>
      </c>
      <c r="Y15" s="19" t="n">
        <v>0.006500000000000001</v>
      </c>
      <c r="Z15" s="6" t="inlineStr">
        <is>
          <t>ok</t>
        </is>
      </c>
      <c r="AA15" s="12" t="n">
        <v>100</v>
      </c>
      <c r="AB15" s="15" t="n"/>
      <c r="AC15" s="6" t="inlineStr">
        <is>
          <t>ok</t>
        </is>
      </c>
      <c r="AD15" s="6" t="inlineStr">
        <is>
          <t>up</t>
        </is>
      </c>
      <c r="AE15" s="17" t="n">
        <v>63.7925</v>
      </c>
      <c r="AF15" s="17" t="n">
        <v>61.1362</v>
      </c>
      <c r="AG15" s="17" t="n">
        <v>66.44889999999999</v>
      </c>
      <c r="AH15" s="20" t="n">
        <v>46330</v>
      </c>
      <c r="AI15" s="18" t="n">
        <v>0.54</v>
      </c>
      <c r="AJ15" s="6" t="inlineStr">
        <is>
          <t>watch</t>
        </is>
      </c>
      <c r="AK15" s="12" t="n">
        <v>7</v>
      </c>
      <c r="AL15" s="15" t="inlineStr">
        <is>
          <t>Goldman Sachs Downgrades Occidental Petroleum to Neutral</t>
        </is>
      </c>
      <c r="AM15" s="17" t="n">
        <v>63.14</v>
      </c>
      <c r="AN15" s="19" t="n">
        <v>-0.0209</v>
      </c>
      <c r="AO15" s="17" t="n">
        <v>100052.8</v>
      </c>
      <c r="AP15" s="17" t="n">
        <v>100052.8</v>
      </c>
      <c r="AQ15" s="19" t="n">
        <v>0.0833</v>
      </c>
      <c r="AR15" s="16" t="n"/>
      <c r="AS15" s="17" t="n"/>
      <c r="AT15" s="19" t="n"/>
      <c r="AU15" s="6" t="inlineStr">
        <is>
          <t>paper</t>
        </is>
      </c>
      <c r="AV15" s="6" t="inlineStr">
        <is>
          <t>e2f8f479-97ed-463a-aab1-2ca11da16008</t>
        </is>
      </c>
      <c r="AW15" s="6" t="inlineStr">
        <is>
          <t>tdagent-buy-OXY-1793194267523</t>
        </is>
      </c>
      <c r="AX15" s="13" t="n">
        <v>46323.56327546296</v>
      </c>
      <c r="AY15" s="13" t="n">
        <v>46323.56554398148</v>
      </c>
      <c r="AZ15" s="13" t="n">
        <v>46323.56269675926</v>
      </c>
      <c r="BA15" s="6" t="n"/>
    </row>
    <row r="16">
      <c r="A16" s="12" t="n">
        <v>15</v>
      </c>
      <c r="B16" s="13" t="n">
        <v>46323.60728009259</v>
      </c>
      <c r="C16" s="13" t="n">
        <v>46323.39894675926</v>
      </c>
      <c r="D16" s="13" t="n">
        <v>46323.56561342593</v>
      </c>
      <c r="E16" s="14" t="inlineStr">
        <is>
          <t>BUY</t>
        </is>
      </c>
      <c r="F16" s="6" t="inlineStr">
        <is>
          <t>IQV</t>
        </is>
      </c>
      <c r="G16" s="15" t="inlineStr">
        <is>
          <t>IQVIA Holdings Inc.</t>
        </is>
      </c>
      <c r="H16" s="6" t="inlineStr">
        <is>
          <t>NYSE</t>
        </is>
      </c>
      <c r="I16" s="6" t="inlineStr">
        <is>
          <t>filled</t>
        </is>
      </c>
      <c r="J16" s="16" t="n">
        <v>30.359759869</v>
      </c>
      <c r="K16" s="17" t="n">
        <v>274.520617</v>
      </c>
      <c r="L16" s="17">
        <f>IF(AND(ISNUMBER(J16),ISNUMBER(K16)),J16*K16,"")</f>
        <v/>
      </c>
      <c r="M16" s="17" t="n">
        <v>8334.389999999999</v>
      </c>
      <c r="N16" s="16" t="n"/>
      <c r="O16" s="6" t="inlineStr">
        <is>
          <t>4+/5 green</t>
        </is>
      </c>
      <c r="P16" s="15" t="inlineStr">
        <is>
          <t>4 of 5 green, time machine green, rank #13, 8.33% of the $100,052.80 account</t>
        </is>
      </c>
      <c r="Q16" s="12" t="n">
        <v>4</v>
      </c>
      <c r="R16" s="6" t="inlineStr">
        <is>
          <t>ok</t>
        </is>
      </c>
      <c r="S16" s="18" t="n">
        <v>0.6</v>
      </c>
      <c r="T16" s="12" t="n">
        <v>75</v>
      </c>
      <c r="U16" s="19" t="n">
        <v>0.0142</v>
      </c>
      <c r="V16" s="19" t="n">
        <v>-0.1111</v>
      </c>
      <c r="W16" s="12" t="n">
        <v>13</v>
      </c>
      <c r="X16" s="6" t="inlineStr">
        <is>
          <t>ok</t>
        </is>
      </c>
      <c r="Y16" s="19" t="n">
        <v>0.004699999999999999</v>
      </c>
      <c r="Z16" s="6" t="inlineStr">
        <is>
          <t>ok</t>
        </is>
      </c>
      <c r="AA16" s="12" t="n">
        <v>100</v>
      </c>
      <c r="AB16" s="15" t="n"/>
      <c r="AC16" s="6" t="inlineStr">
        <is>
          <t>ok</t>
        </is>
      </c>
      <c r="AD16" s="6" t="inlineStr">
        <is>
          <t>up</t>
        </is>
      </c>
      <c r="AE16" s="17" t="n">
        <v>275.4603</v>
      </c>
      <c r="AF16" s="17" t="n">
        <v>265.4096</v>
      </c>
      <c r="AG16" s="17" t="n">
        <v>285.511</v>
      </c>
      <c r="AH16" s="20" t="n">
        <v>46330</v>
      </c>
      <c r="AI16" s="18" t="n">
        <v>0.53</v>
      </c>
      <c r="AJ16" s="6" t="inlineStr">
        <is>
          <t>watch</t>
        </is>
      </c>
      <c r="AK16" s="12" t="n">
        <v>7</v>
      </c>
      <c r="AL16" s="15" t="inlineStr">
        <is>
          <t>IQVIA Hldgs Q3 2026 Earnings Call Transcript</t>
        </is>
      </c>
      <c r="AM16" s="17" t="n">
        <v>270.175</v>
      </c>
      <c r="AN16" s="19" t="n">
        <v>-0.0092</v>
      </c>
      <c r="AO16" s="17" t="n">
        <v>100052.8</v>
      </c>
      <c r="AP16" s="17" t="n">
        <v>100052.8</v>
      </c>
      <c r="AQ16" s="19" t="n">
        <v>0.0833</v>
      </c>
      <c r="AR16" s="16" t="n"/>
      <c r="AS16" s="17" t="n"/>
      <c r="AT16" s="19" t="n"/>
      <c r="AU16" s="6" t="inlineStr">
        <is>
          <t>paper</t>
        </is>
      </c>
      <c r="AV16" s="6" t="inlineStr">
        <is>
          <t>dcb95512-fd40-4530-b67d-8e5ef4305ac4</t>
        </is>
      </c>
      <c r="AW16" s="6" t="inlineStr">
        <is>
          <t>tdagent-buy-IQV-1793194268057</t>
        </is>
      </c>
      <c r="AX16" s="13" t="n">
        <v>46323.56328703704</v>
      </c>
      <c r="AY16" s="13" t="n">
        <v>46323.56561342593</v>
      </c>
      <c r="AZ16" s="13" t="n">
        <v>46323.56269675926</v>
      </c>
      <c r="BA16" s="6" t="n"/>
    </row>
    <row r="17">
      <c r="A17" s="12" t="n">
        <v>16</v>
      </c>
      <c r="B17" s="13" t="n">
        <v>46323.60732638889</v>
      </c>
      <c r="C17" s="13" t="n">
        <v>46323.39899305555</v>
      </c>
      <c r="D17" s="13" t="n">
        <v>46323.56565972222</v>
      </c>
      <c r="E17" s="14" t="inlineStr">
        <is>
          <t>BUY</t>
        </is>
      </c>
      <c r="F17" s="6" t="inlineStr">
        <is>
          <t>PBR.A</t>
        </is>
      </c>
      <c r="G17" s="15" t="inlineStr">
        <is>
          <t>Petroleo Brasileiro S.A.-Petrobras</t>
        </is>
      </c>
      <c r="H17" s="6" t="inlineStr">
        <is>
          <t>NYSE</t>
        </is>
      </c>
      <c r="I17" s="6" t="inlineStr">
        <is>
          <t>filled</t>
        </is>
      </c>
      <c r="J17" s="16" t="n">
        <v>423.159067882</v>
      </c>
      <c r="K17" s="17" t="n">
        <v>19.69562</v>
      </c>
      <c r="L17" s="17">
        <f>IF(AND(ISNUMBER(J17),ISNUMBER(K17)),J17*K17,"")</f>
        <v/>
      </c>
      <c r="M17" s="17" t="n">
        <v>8334.389999999999</v>
      </c>
      <c r="N17" s="16" t="n"/>
      <c r="O17" s="6" t="inlineStr">
        <is>
          <t>4+/5 green</t>
        </is>
      </c>
      <c r="P17" s="15" t="inlineStr">
        <is>
          <t>4 of 5 green, time machine green, rank #14, 8.33% of the $100,052.80 account</t>
        </is>
      </c>
      <c r="Q17" s="12" t="n">
        <v>4</v>
      </c>
      <c r="R17" s="6" t="inlineStr">
        <is>
          <t>ok</t>
        </is>
      </c>
      <c r="S17" s="18" t="n">
        <v>0.652</v>
      </c>
      <c r="T17" s="12" t="n">
        <v>66</v>
      </c>
      <c r="U17" s="19" t="n">
        <v>0.0247</v>
      </c>
      <c r="V17" s="19" t="n">
        <v>-0.1111</v>
      </c>
      <c r="W17" s="12" t="n">
        <v>14</v>
      </c>
      <c r="X17" s="6" t="inlineStr">
        <is>
          <t>ok</t>
        </is>
      </c>
      <c r="Y17" s="19" t="n">
        <v>0.0018</v>
      </c>
      <c r="Z17" s="6" t="inlineStr">
        <is>
          <t>watch</t>
        </is>
      </c>
      <c r="AA17" s="12" t="n">
        <v>70</v>
      </c>
      <c r="AB17" s="15" t="inlineStr">
        <is>
          <t>One day (-15.4%) did 121% of the 10-day move. The trend rests on a single jump.; Price gapped 16.8% at an open in the last week.</t>
        </is>
      </c>
      <c r="AC17" s="6" t="inlineStr">
        <is>
          <t>ok</t>
        </is>
      </c>
      <c r="AD17" s="6" t="inlineStr">
        <is>
          <t>up</t>
        </is>
      </c>
      <c r="AE17" s="17" t="n">
        <v>20.3103</v>
      </c>
      <c r="AF17" s="17" t="n">
        <v>18.9221</v>
      </c>
      <c r="AG17" s="17" t="n">
        <v>21.6984</v>
      </c>
      <c r="AH17" s="20" t="n">
        <v>46330</v>
      </c>
      <c r="AI17" s="18" t="n">
        <v>0.53</v>
      </c>
      <c r="AJ17" s="6" t="inlineStr">
        <is>
          <t>ok</t>
        </is>
      </c>
      <c r="AK17" s="12" t="n">
        <v>3</v>
      </c>
      <c r="AL17" s="15" t="inlineStr">
        <is>
          <t>Halliburton Deploys ROCS Technology With Petrobras in Brazil</t>
        </is>
      </c>
      <c r="AM17" s="17" t="n">
        <v>19.72</v>
      </c>
      <c r="AN17" s="19" t="n">
        <v>-0.0075</v>
      </c>
      <c r="AO17" s="17" t="n">
        <v>100052.8</v>
      </c>
      <c r="AP17" s="17" t="n">
        <v>100052.8</v>
      </c>
      <c r="AQ17" s="19" t="n">
        <v>0.0833</v>
      </c>
      <c r="AR17" s="16" t="n"/>
      <c r="AS17" s="17" t="n"/>
      <c r="AT17" s="19" t="n"/>
      <c r="AU17" s="6" t="inlineStr">
        <is>
          <t>paper</t>
        </is>
      </c>
      <c r="AV17" s="6" t="inlineStr">
        <is>
          <t>d24a5b49-4f8b-4052-bbd2-144f6d025701</t>
        </is>
      </c>
      <c r="AW17" s="6" t="inlineStr">
        <is>
          <t>tdagent-buy-PBR.A-1793194268661</t>
        </is>
      </c>
      <c r="AX17" s="13" t="n">
        <v>46323.56328703704</v>
      </c>
      <c r="AY17" s="13" t="n">
        <v>46323.56565972222</v>
      </c>
      <c r="AZ17" s="13" t="n">
        <v>46323.56269675926</v>
      </c>
      <c r="BA17" s="6" t="n"/>
    </row>
    <row r="18">
      <c r="A18" s="12" t="n">
        <v>17</v>
      </c>
      <c r="B18" s="13" t="n">
        <v>46323.60892361111</v>
      </c>
      <c r="C18" s="13" t="n">
        <v>46323.40059027778</v>
      </c>
      <c r="D18" s="13" t="n">
        <v>46323.56725694444</v>
      </c>
      <c r="E18" s="21" t="inlineStr">
        <is>
          <t>SELL</t>
        </is>
      </c>
      <c r="F18" s="6" t="inlineStr">
        <is>
          <t>IQV</t>
        </is>
      </c>
      <c r="G18" s="15" t="inlineStr">
        <is>
          <t>IQV</t>
        </is>
      </c>
      <c r="H18" s="6" t="inlineStr">
        <is>
          <t>NYSE</t>
        </is>
      </c>
      <c r="I18" s="6" t="inlineStr">
        <is>
          <t>filled</t>
        </is>
      </c>
      <c r="J18" s="16" t="n">
        <v>15.179879934</v>
      </c>
      <c r="K18" s="17" t="n">
        <v>273.44</v>
      </c>
      <c r="L18" s="17">
        <f>IF(AND(ISNUMBER(J18),ISNUMBER(K18)),J18*K18,"")</f>
        <v/>
      </c>
      <c r="M18" s="17" t="n"/>
      <c r="N18" s="16" t="n">
        <v>15.179879934</v>
      </c>
      <c r="O18" s="6" t="inlineStr">
        <is>
          <t>3 green: sell half</t>
        </is>
      </c>
      <c r="P18" s="15" t="inlineStr">
        <is>
          <t>3 of 5 green: start selling (half)</t>
        </is>
      </c>
      <c r="Q18" s="12" t="n">
        <v>3</v>
      </c>
      <c r="R18" s="6" t="inlineStr">
        <is>
          <t>ok</t>
        </is>
      </c>
      <c r="S18" s="18" t="n">
        <v>0.6</v>
      </c>
      <c r="T18" s="12" t="n">
        <v>75</v>
      </c>
      <c r="U18" s="19" t="n">
        <v>0.0142</v>
      </c>
      <c r="V18" s="19" t="n">
        <v>-0.1111</v>
      </c>
      <c r="W18" s="12" t="n"/>
      <c r="X18" s="6" t="inlineStr">
        <is>
          <t>watch</t>
        </is>
      </c>
      <c r="Y18" s="19" t="n">
        <v>0.0091</v>
      </c>
      <c r="Z18" s="6" t="inlineStr">
        <is>
          <t>ok</t>
        </is>
      </c>
      <c r="AA18" s="12" t="n">
        <v>100</v>
      </c>
      <c r="AB18" s="15" t="n"/>
      <c r="AC18" s="6" t="inlineStr">
        <is>
          <t>ok</t>
        </is>
      </c>
      <c r="AD18" s="6" t="inlineStr">
        <is>
          <t>up</t>
        </is>
      </c>
      <c r="AE18" s="17" t="n">
        <v>275.8908</v>
      </c>
      <c r="AF18" s="17" t="n">
        <v>266.0138</v>
      </c>
      <c r="AG18" s="17" t="n">
        <v>285.7679</v>
      </c>
      <c r="AH18" s="20" t="n">
        <v>46330</v>
      </c>
      <c r="AI18" s="18" t="n">
        <v>0.53</v>
      </c>
      <c r="AJ18" s="6" t="inlineStr">
        <is>
          <t>watch</t>
        </is>
      </c>
      <c r="AK18" s="12" t="n">
        <v>7</v>
      </c>
      <c r="AL18" s="15" t="inlineStr">
        <is>
          <t>IQVIA Hldgs Q3 2026 Earnings Call Transcript</t>
        </is>
      </c>
      <c r="AM18" s="17" t="n">
        <v>271.94</v>
      </c>
      <c r="AN18" s="19" t="n">
        <v>0.0018</v>
      </c>
      <c r="AO18" s="17" t="n">
        <v>99990.35000000001</v>
      </c>
      <c r="AP18" s="17" t="n">
        <v>40.24</v>
      </c>
      <c r="AQ18" s="19" t="n">
        <v>0.0833</v>
      </c>
      <c r="AR18" s="16" t="n">
        <v>30.359759869</v>
      </c>
      <c r="AS18" s="17" t="n">
        <v>274.520617</v>
      </c>
      <c r="AT18" s="19" t="n">
        <v>-0.0028</v>
      </c>
      <c r="AU18" s="6" t="inlineStr">
        <is>
          <t>paper</t>
        </is>
      </c>
      <c r="AV18" s="6" t="inlineStr">
        <is>
          <t>23c6235d-dfef-4aeb-a7b4-d002f9b5f79f</t>
        </is>
      </c>
      <c r="AW18" s="6" t="inlineStr">
        <is>
          <t>tdagent-sell-IQV-1793194607983</t>
        </is>
      </c>
      <c r="AX18" s="13" t="n">
        <v>46323.56721064815</v>
      </c>
      <c r="AY18" s="13" t="n">
        <v>46323.56725694444</v>
      </c>
      <c r="AZ18" s="13" t="n">
        <v>46323.56685185185</v>
      </c>
      <c r="BA18" s="6" t="n"/>
    </row>
    <row r="19">
      <c r="A19" s="12" t="n">
        <v>18</v>
      </c>
      <c r="B19" s="13" t="n">
        <v>46323.60894675926</v>
      </c>
      <c r="C19" s="13" t="n">
        <v>46323.40061342593</v>
      </c>
      <c r="D19" s="13" t="n">
        <v>46323.56728009259</v>
      </c>
      <c r="E19" s="21" t="inlineStr">
        <is>
          <t>SELL</t>
        </is>
      </c>
      <c r="F19" s="6" t="inlineStr">
        <is>
          <t>PBR.A</t>
        </is>
      </c>
      <c r="G19" s="15" t="inlineStr">
        <is>
          <t>PBR.A</t>
        </is>
      </c>
      <c r="H19" s="6" t="inlineStr">
        <is>
          <t>NYSE</t>
        </is>
      </c>
      <c r="I19" s="6" t="inlineStr">
        <is>
          <t>filled</t>
        </is>
      </c>
      <c r="J19" s="16" t="n">
        <v>211.579533941</v>
      </c>
      <c r="K19" s="17" t="n">
        <v>19.755625</v>
      </c>
      <c r="L19" s="17">
        <f>IF(AND(ISNUMBER(J19),ISNUMBER(K19)),J19*K19,"")</f>
        <v/>
      </c>
      <c r="M19" s="17" t="n"/>
      <c r="N19" s="16" t="n">
        <v>211.579533941</v>
      </c>
      <c r="O19" s="6" t="inlineStr">
        <is>
          <t>3 green: sell half</t>
        </is>
      </c>
      <c r="P19" s="15" t="inlineStr">
        <is>
          <t>3 of 5 green: start selling (half)</t>
        </is>
      </c>
      <c r="Q19" s="12" t="n">
        <v>3</v>
      </c>
      <c r="R19" s="6" t="inlineStr">
        <is>
          <t>ok</t>
        </is>
      </c>
      <c r="S19" s="18" t="n">
        <v>0.652</v>
      </c>
      <c r="T19" s="12" t="n">
        <v>66</v>
      </c>
      <c r="U19" s="19" t="n">
        <v>0.0247</v>
      </c>
      <c r="V19" s="19" t="n">
        <v>-0.1111</v>
      </c>
      <c r="W19" s="12" t="n"/>
      <c r="X19" s="6" t="inlineStr">
        <is>
          <t>ok</t>
        </is>
      </c>
      <c r="Y19" s="19" t="n">
        <v>0.0005</v>
      </c>
      <c r="Z19" s="6" t="inlineStr">
        <is>
          <t>watch</t>
        </is>
      </c>
      <c r="AA19" s="12" t="n">
        <v>70</v>
      </c>
      <c r="AB19" s="15" t="inlineStr">
        <is>
          <t>One day (-15.4%) did 107% of the 10-day move. The trend rests on a single jump.; Price gapped 16.8% at an open in the last week.</t>
        </is>
      </c>
      <c r="AC19" s="6" t="inlineStr">
        <is>
          <t>watch</t>
        </is>
      </c>
      <c r="AD19" s="6" t="inlineStr">
        <is>
          <t>flat</t>
        </is>
      </c>
      <c r="AE19" s="17" t="n">
        <v>19.76</v>
      </c>
      <c r="AF19" s="17" t="n">
        <v>18.3771</v>
      </c>
      <c r="AG19" s="17" t="n">
        <v>21.1429</v>
      </c>
      <c r="AH19" s="20" t="n">
        <v>46330</v>
      </c>
      <c r="AI19" s="18" t="n">
        <v>0.5</v>
      </c>
      <c r="AJ19" s="6" t="inlineStr">
        <is>
          <t>ok</t>
        </is>
      </c>
      <c r="AK19" s="12" t="n">
        <v>3</v>
      </c>
      <c r="AL19" s="15" t="inlineStr">
        <is>
          <t>Halliburton Deploys ROCS Technology With Petrobras in Brazil</t>
        </is>
      </c>
      <c r="AM19" s="17" t="n">
        <v>19.75</v>
      </c>
      <c r="AN19" s="19" t="n">
        <v>0.0003</v>
      </c>
      <c r="AO19" s="17" t="n">
        <v>99990.35000000001</v>
      </c>
      <c r="AP19" s="17" t="n">
        <v>40.24</v>
      </c>
      <c r="AQ19" s="19" t="n">
        <v>0.0833</v>
      </c>
      <c r="AR19" s="16" t="n">
        <v>423.159067882</v>
      </c>
      <c r="AS19" s="17" t="n">
        <v>19.69562</v>
      </c>
      <c r="AT19" s="19" t="n">
        <v>0.0028</v>
      </c>
      <c r="AU19" s="6" t="inlineStr">
        <is>
          <t>paper</t>
        </is>
      </c>
      <c r="AV19" s="6" t="inlineStr">
        <is>
          <t>e3451ca4-e963-4073-ad76-f95ca1253ccb</t>
        </is>
      </c>
      <c r="AW19" s="6" t="inlineStr">
        <is>
          <t>tdagent-sell-PBR.A-1793194608171</t>
        </is>
      </c>
      <c r="AX19" s="13" t="n">
        <v>46323.56722222222</v>
      </c>
      <c r="AY19" s="13" t="n">
        <v>46323.56728009259</v>
      </c>
      <c r="AZ19" s="13" t="n">
        <v>46323.56685185185</v>
      </c>
      <c r="BA19" s="6" t="n"/>
    </row>
    <row r="20">
      <c r="A20" s="12" t="n">
        <v>19</v>
      </c>
      <c r="B20" s="13" t="n">
        <v>46323.66149305556</v>
      </c>
      <c r="C20" s="13" t="n">
        <v>46323.45315972222</v>
      </c>
      <c r="D20" s="13" t="n">
        <v>46323.61982638889</v>
      </c>
      <c r="E20" s="21" t="inlineStr">
        <is>
          <t>SELL</t>
        </is>
      </c>
      <c r="F20" s="6" t="inlineStr">
        <is>
          <t>UTHR</t>
        </is>
      </c>
      <c r="G20" s="15" t="inlineStr">
        <is>
          <t>UTHR</t>
        </is>
      </c>
      <c r="H20" s="6" t="inlineStr">
        <is>
          <t>NASDAQ</t>
        </is>
      </c>
      <c r="I20" s="6" t="inlineStr">
        <is>
          <t>filled</t>
        </is>
      </c>
      <c r="J20" s="16" t="n">
        <v>7.111731176</v>
      </c>
      <c r="K20" s="17" t="n">
        <v>588.24</v>
      </c>
      <c r="L20" s="17">
        <f>IF(AND(ISNUMBER(J20),ISNUMBER(K20)),J20*K20,"")</f>
        <v/>
      </c>
      <c r="M20" s="17" t="n"/>
      <c r="N20" s="16" t="n">
        <v>7.111731176</v>
      </c>
      <c r="O20" s="6" t="inlineStr">
        <is>
          <t>3 green: sell half</t>
        </is>
      </c>
      <c r="P20" s="15" t="inlineStr">
        <is>
          <t>3 of 5 green: start selling (half)</t>
        </is>
      </c>
      <c r="Q20" s="12" t="n">
        <v>3</v>
      </c>
      <c r="R20" s="6" t="inlineStr">
        <is>
          <t>ok</t>
        </is>
      </c>
      <c r="S20" s="18" t="n">
        <v>0.569</v>
      </c>
      <c r="T20" s="12" t="n">
        <v>51</v>
      </c>
      <c r="U20" s="19" t="n">
        <v>0.0118</v>
      </c>
      <c r="V20" s="19" t="n">
        <v>-0.1111</v>
      </c>
      <c r="W20" s="12" t="n"/>
      <c r="X20" s="6" t="inlineStr">
        <is>
          <t>watch</t>
        </is>
      </c>
      <c r="Y20" s="19" t="n">
        <v>0.007900000000000001</v>
      </c>
      <c r="Z20" s="6" t="inlineStr">
        <is>
          <t>ok</t>
        </is>
      </c>
      <c r="AA20" s="12" t="n">
        <v>100</v>
      </c>
      <c r="AB20" s="15" t="n"/>
      <c r="AC20" s="6" t="inlineStr">
        <is>
          <t>watch</t>
        </is>
      </c>
      <c r="AD20" s="6" t="inlineStr">
        <is>
          <t>flat</t>
        </is>
      </c>
      <c r="AE20" s="17" t="n">
        <v>589.155</v>
      </c>
      <c r="AF20" s="17" t="n">
        <v>556.9173</v>
      </c>
      <c r="AG20" s="17" t="n">
        <v>621.3927</v>
      </c>
      <c r="AH20" s="20" t="n">
        <v>46330</v>
      </c>
      <c r="AI20" s="18" t="n">
        <v>0.5</v>
      </c>
      <c r="AJ20" s="6" t="inlineStr">
        <is>
          <t>ok</t>
        </is>
      </c>
      <c r="AK20" s="12" t="n">
        <v>1</v>
      </c>
      <c r="AL20" s="15" t="inlineStr">
        <is>
          <t>$100 Invested In United Therapeutics 15 Years Ago Would Be Worth This Much Today</t>
        </is>
      </c>
      <c r="AM20" s="17" t="n">
        <v>589.155</v>
      </c>
      <c r="AN20" s="19" t="n">
        <v>-0.0037</v>
      </c>
      <c r="AO20" s="17" t="n">
        <v>100467.14</v>
      </c>
      <c r="AP20" s="17" t="n">
        <v>8370.92</v>
      </c>
      <c r="AQ20" s="19" t="n">
        <v>0.0833</v>
      </c>
      <c r="AR20" s="16" t="n">
        <v>14.223462352</v>
      </c>
      <c r="AS20" s="17" t="n">
        <v>585.96</v>
      </c>
      <c r="AT20" s="19" t="n">
        <v>0.004699999999999999</v>
      </c>
      <c r="AU20" s="6" t="inlineStr">
        <is>
          <t>paper</t>
        </is>
      </c>
      <c r="AV20" s="6" t="inlineStr">
        <is>
          <t>7bad1f9c-33ad-4b49-9f35-6a76bd48b748</t>
        </is>
      </c>
      <c r="AW20" s="6" t="inlineStr">
        <is>
          <t>tdagent-sell-UTHR-1793199151204</t>
        </is>
      </c>
      <c r="AX20" s="13" t="n">
        <v>46323.61980324074</v>
      </c>
      <c r="AY20" s="13" t="n">
        <v>46323.61982638889</v>
      </c>
      <c r="AZ20" s="13" t="n">
        <v>46323.61961805556</v>
      </c>
      <c r="BA20" s="6" t="n"/>
    </row>
    <row r="21">
      <c r="A21" s="12" t="n">
        <v>20</v>
      </c>
      <c r="B21" s="13" t="n">
        <v>46323.67184027778</v>
      </c>
      <c r="C21" s="13" t="n">
        <v>46323.46350694444</v>
      </c>
      <c r="D21" s="13" t="n">
        <v>46323.63017361111</v>
      </c>
      <c r="E21" s="14" t="inlineStr">
        <is>
          <t>BUY</t>
        </is>
      </c>
      <c r="F21" s="6" t="inlineStr">
        <is>
          <t>ADI</t>
        </is>
      </c>
      <c r="G21" s="15" t="inlineStr">
        <is>
          <t>Analog Devices, Inc. Common Stock</t>
        </is>
      </c>
      <c r="H21" s="6" t="inlineStr">
        <is>
          <t>NASDAQ</t>
        </is>
      </c>
      <c r="I21" s="6" t="inlineStr">
        <is>
          <t>filled</t>
        </is>
      </c>
      <c r="J21" s="16" t="n">
        <v>2.460611764</v>
      </c>
      <c r="K21" s="17" t="n">
        <v>425</v>
      </c>
      <c r="L21" s="17">
        <f>IF(AND(ISNUMBER(J21),ISNUMBER(K21)),J21*K21,"")</f>
        <v/>
      </c>
      <c r="M21" s="17" t="n">
        <v>1045.77</v>
      </c>
      <c r="N21" s="16" t="n"/>
      <c r="O21" s="6" t="inlineStr">
        <is>
          <t>4+/5 green</t>
        </is>
      </c>
      <c r="P21" s="15" t="inlineStr">
        <is>
          <t>5 of 5 green, time machine green, rank #1, 8.33% of the $12,554.32 free cash split 12 ways</t>
        </is>
      </c>
      <c r="Q21" s="12" t="n">
        <v>5</v>
      </c>
      <c r="R21" s="6" t="inlineStr">
        <is>
          <t>ok</t>
        </is>
      </c>
      <c r="S21" s="18" t="n">
        <v>0.707</v>
      </c>
      <c r="T21" s="12" t="n">
        <v>75</v>
      </c>
      <c r="U21" s="19" t="n">
        <v>0.0147</v>
      </c>
      <c r="V21" s="19" t="n">
        <v>-0.1395</v>
      </c>
      <c r="W21" s="12" t="n">
        <v>1</v>
      </c>
      <c r="X21" s="6" t="inlineStr">
        <is>
          <t>ok</t>
        </is>
      </c>
      <c r="Y21" s="19" t="n">
        <v>0</v>
      </c>
      <c r="Z21" s="6" t="inlineStr">
        <is>
          <t>ok</t>
        </is>
      </c>
      <c r="AA21" s="12" t="n">
        <v>100</v>
      </c>
      <c r="AB21" s="15" t="n"/>
      <c r="AC21" s="6" t="inlineStr">
        <is>
          <t>ok</t>
        </is>
      </c>
      <c r="AD21" s="6" t="inlineStr">
        <is>
          <t>up</t>
        </is>
      </c>
      <c r="AE21" s="17" t="n">
        <v>431.932</v>
      </c>
      <c r="AF21" s="17" t="n">
        <v>413.102</v>
      </c>
      <c r="AG21" s="17" t="n">
        <v>450.762</v>
      </c>
      <c r="AH21" s="20" t="n">
        <v>46330</v>
      </c>
      <c r="AI21" s="18" t="n">
        <v>0.53</v>
      </c>
      <c r="AJ21" s="6" t="inlineStr">
        <is>
          <t>ok</t>
        </is>
      </c>
      <c r="AK21" s="12" t="n">
        <v>0</v>
      </c>
      <c r="AL21" s="15" t="n"/>
      <c r="AM21" s="17" t="n">
        <v>424.4</v>
      </c>
      <c r="AN21" s="19" t="n">
        <v>-0.002</v>
      </c>
      <c r="AO21" s="17" t="n">
        <v>100357.58</v>
      </c>
      <c r="AP21" s="17" t="n">
        <v>12554.32</v>
      </c>
      <c r="AQ21" s="19" t="n">
        <v>0.0833</v>
      </c>
      <c r="AR21" s="16" t="n"/>
      <c r="AS21" s="17" t="n"/>
      <c r="AT21" s="19" t="n"/>
      <c r="AU21" s="6" t="inlineStr">
        <is>
          <t>paper</t>
        </is>
      </c>
      <c r="AV21" s="6" t="inlineStr">
        <is>
          <t>e231ad14-a73b-476f-af0e-82110bbe24ec</t>
        </is>
      </c>
      <c r="AW21" s="6" t="inlineStr">
        <is>
          <t>tdagent-buy-ADI-1793200046969</t>
        </is>
      </c>
      <c r="AX21" s="13" t="n">
        <v>46323.63016203704</v>
      </c>
      <c r="AY21" s="13" t="n">
        <v>46323.63017361111</v>
      </c>
      <c r="AZ21" s="13" t="n">
        <v>46323.62954861111</v>
      </c>
      <c r="BA21" s="6" t="n"/>
    </row>
    <row r="22">
      <c r="A22" s="12" t="n">
        <v>21</v>
      </c>
      <c r="B22" s="13" t="n">
        <v>46323.67185185185</v>
      </c>
      <c r="C22" s="13" t="n">
        <v>46323.46351851852</v>
      </c>
      <c r="D22" s="13" t="n">
        <v>46323.63018518518</v>
      </c>
      <c r="E22" s="14" t="inlineStr">
        <is>
          <t>BUY</t>
        </is>
      </c>
      <c r="F22" s="6" t="inlineStr">
        <is>
          <t>NTRA</t>
        </is>
      </c>
      <c r="G22" s="15" t="inlineStr">
        <is>
          <t>Natera, Inc. Common Stock</t>
        </is>
      </c>
      <c r="H22" s="6" t="inlineStr">
        <is>
          <t>NASDAQ</t>
        </is>
      </c>
      <c r="I22" s="6" t="inlineStr">
        <is>
          <t>filled</t>
        </is>
      </c>
      <c r="J22" s="16" t="n">
        <v>2.434491107</v>
      </c>
      <c r="K22" s="17" t="n">
        <v>429.56</v>
      </c>
      <c r="L22" s="17">
        <f>IF(AND(ISNUMBER(J22),ISNUMBER(K22)),J22*K22,"")</f>
        <v/>
      </c>
      <c r="M22" s="17" t="n">
        <v>1045.77</v>
      </c>
      <c r="N22" s="16" t="n"/>
      <c r="O22" s="6" t="inlineStr">
        <is>
          <t>4+/5 green</t>
        </is>
      </c>
      <c r="P22" s="15" t="inlineStr">
        <is>
          <t>5 of 5 green, time machine green, rank #2, 8.33% of the $12,554.32 free cash split 12 ways</t>
        </is>
      </c>
      <c r="Q22" s="12" t="n">
        <v>5</v>
      </c>
      <c r="R22" s="6" t="inlineStr">
        <is>
          <t>ok</t>
        </is>
      </c>
      <c r="S22" s="18" t="n">
        <v>0.6919999999999999</v>
      </c>
      <c r="T22" s="12" t="n">
        <v>65</v>
      </c>
      <c r="U22" s="19" t="n">
        <v>0.0284</v>
      </c>
      <c r="V22" s="19" t="n">
        <v>-0.1395</v>
      </c>
      <c r="W22" s="12" t="n">
        <v>2</v>
      </c>
      <c r="X22" s="6" t="inlineStr">
        <is>
          <t>ok</t>
        </is>
      </c>
      <c r="Y22" s="19" t="n">
        <v>0.001</v>
      </c>
      <c r="Z22" s="6" t="inlineStr">
        <is>
          <t>ok</t>
        </is>
      </c>
      <c r="AA22" s="12" t="n">
        <v>100</v>
      </c>
      <c r="AB22" s="15" t="n"/>
      <c r="AC22" s="6" t="inlineStr">
        <is>
          <t>ok</t>
        </is>
      </c>
      <c r="AD22" s="6" t="inlineStr">
        <is>
          <t>up</t>
        </is>
      </c>
      <c r="AE22" s="17" t="n">
        <v>442.7164</v>
      </c>
      <c r="AF22" s="17" t="n">
        <v>409.2004</v>
      </c>
      <c r="AG22" s="17" t="n">
        <v>476.2324</v>
      </c>
      <c r="AH22" s="20" t="n">
        <v>46330</v>
      </c>
      <c r="AI22" s="18" t="n">
        <v>0.53</v>
      </c>
      <c r="AJ22" s="6" t="inlineStr">
        <is>
          <t>ok</t>
        </is>
      </c>
      <c r="AK22" s="12" t="n">
        <v>5</v>
      </c>
      <c r="AL22" s="15" t="inlineStr">
        <is>
          <t>BTIG Maintains Buy on Natera, Raises Price Target to $430</t>
        </is>
      </c>
      <c r="AM22" s="17" t="n">
        <v>429.31</v>
      </c>
      <c r="AN22" s="19" t="n">
        <v>0.045</v>
      </c>
      <c r="AO22" s="17" t="n">
        <v>100357.58</v>
      </c>
      <c r="AP22" s="17" t="n">
        <v>12554.32</v>
      </c>
      <c r="AQ22" s="19" t="n">
        <v>0.0833</v>
      </c>
      <c r="AR22" s="16" t="n"/>
      <c r="AS22" s="17" t="n"/>
      <c r="AT22" s="19" t="n"/>
      <c r="AU22" s="6" t="inlineStr">
        <is>
          <t>paper</t>
        </is>
      </c>
      <c r="AV22" s="6" t="inlineStr">
        <is>
          <t>e246d111-60a8-4104-b741-c60e83ced992</t>
        </is>
      </c>
      <c r="AW22" s="6" t="inlineStr">
        <is>
          <t>tdagent-buy-NTRA-1793200047226</t>
        </is>
      </c>
      <c r="AX22" s="13" t="n">
        <v>46323.63017361111</v>
      </c>
      <c r="AY22" s="13" t="n">
        <v>46323.63018518518</v>
      </c>
      <c r="AZ22" s="13" t="n">
        <v>46323.62954861111</v>
      </c>
      <c r="BA22" s="6" t="n"/>
    </row>
    <row r="23">
      <c r="A23" s="12" t="n">
        <v>22</v>
      </c>
      <c r="B23" s="13" t="n">
        <v>46323.67184027778</v>
      </c>
      <c r="C23" s="13" t="n">
        <v>46323.46350694444</v>
      </c>
      <c r="D23" s="13" t="n">
        <v>46323.63017361111</v>
      </c>
      <c r="E23" s="14" t="inlineStr">
        <is>
          <t>BUY</t>
        </is>
      </c>
      <c r="F23" s="6" t="inlineStr">
        <is>
          <t>LNG</t>
        </is>
      </c>
      <c r="G23" s="15" t="inlineStr">
        <is>
          <t>Cheniere Energy Inc</t>
        </is>
      </c>
      <c r="H23" s="6" t="inlineStr">
        <is>
          <t>NYSE</t>
        </is>
      </c>
      <c r="I23" s="6" t="inlineStr">
        <is>
          <t>filled</t>
        </is>
      </c>
      <c r="J23" s="16" t="n">
        <v>3.489356022</v>
      </c>
      <c r="K23" s="17" t="n">
        <v>299.7</v>
      </c>
      <c r="L23" s="17">
        <f>IF(AND(ISNUMBER(J23),ISNUMBER(K23)),J23*K23,"")</f>
        <v/>
      </c>
      <c r="M23" s="17" t="n">
        <v>1045.77</v>
      </c>
      <c r="N23" s="16" t="n"/>
      <c r="O23" s="6" t="inlineStr">
        <is>
          <t>4+/5 green</t>
        </is>
      </c>
      <c r="P23" s="15" t="inlineStr">
        <is>
          <t>5 of 5 green, time machine green, rank #3, 8.33% of the $12,554.32 free cash split 12 ways</t>
        </is>
      </c>
      <c r="Q23" s="12" t="n">
        <v>5</v>
      </c>
      <c r="R23" s="6" t="inlineStr">
        <is>
          <t>ok</t>
        </is>
      </c>
      <c r="S23" s="18" t="n">
        <v>0.66</v>
      </c>
      <c r="T23" s="12" t="n">
        <v>53</v>
      </c>
      <c r="U23" s="19" t="n">
        <v>0.0112</v>
      </c>
      <c r="V23" s="19" t="n">
        <v>-0.1395</v>
      </c>
      <c r="W23" s="12" t="n">
        <v>3</v>
      </c>
      <c r="X23" s="6" t="inlineStr">
        <is>
          <t>ok</t>
        </is>
      </c>
      <c r="Y23" s="19" t="n">
        <v>0</v>
      </c>
      <c r="Z23" s="6" t="inlineStr">
        <is>
          <t>ok</t>
        </is>
      </c>
      <c r="AA23" s="12" t="n">
        <v>100</v>
      </c>
      <c r="AB23" s="15" t="n"/>
      <c r="AC23" s="6" t="inlineStr">
        <is>
          <t>ok</t>
        </is>
      </c>
      <c r="AD23" s="6" t="inlineStr">
        <is>
          <t>up</t>
        </is>
      </c>
      <c r="AE23" s="17" t="n">
        <v>304.4505</v>
      </c>
      <c r="AF23" s="17" t="n">
        <v>292.3993</v>
      </c>
      <c r="AG23" s="17" t="n">
        <v>316.5016</v>
      </c>
      <c r="AH23" s="20" t="n">
        <v>46330</v>
      </c>
      <c r="AI23" s="18" t="n">
        <v>0.54</v>
      </c>
      <c r="AJ23" s="6" t="inlineStr">
        <is>
          <t>ok</t>
        </is>
      </c>
      <c r="AK23" s="12" t="n">
        <v>0</v>
      </c>
      <c r="AL23" s="15" t="n"/>
      <c r="AM23" s="17" t="n">
        <v>299.63</v>
      </c>
      <c r="AN23" s="19" t="n">
        <v>-0.0003</v>
      </c>
      <c r="AO23" s="17" t="n">
        <v>100357.58</v>
      </c>
      <c r="AP23" s="17" t="n">
        <v>12554.32</v>
      </c>
      <c r="AQ23" s="19" t="n">
        <v>0.0833</v>
      </c>
      <c r="AR23" s="16" t="n"/>
      <c r="AS23" s="17" t="n"/>
      <c r="AT23" s="19" t="n"/>
      <c r="AU23" s="6" t="inlineStr">
        <is>
          <t>paper</t>
        </is>
      </c>
      <c r="AV23" s="6" t="inlineStr">
        <is>
          <t>ad27f149-a613-4f91-8db8-e8d8a78946b6</t>
        </is>
      </c>
      <c r="AW23" s="6" t="inlineStr">
        <is>
          <t>tdagent-buy-LNG-1793200047525</t>
        </is>
      </c>
      <c r="AX23" s="13" t="n">
        <v>46323.63017361111</v>
      </c>
      <c r="AY23" s="13" t="n">
        <v>46323.63017361111</v>
      </c>
      <c r="AZ23" s="13" t="n">
        <v>46323.62954861111</v>
      </c>
      <c r="BA23" s="6" t="n"/>
    </row>
    <row r="24">
      <c r="A24" s="12" t="n">
        <v>23</v>
      </c>
      <c r="B24" s="13" t="n">
        <v>46323.67185185185</v>
      </c>
      <c r="C24" s="13" t="n">
        <v>46323.46351851852</v>
      </c>
      <c r="D24" s="13" t="n">
        <v>46323.63018518518</v>
      </c>
      <c r="E24" s="14" t="inlineStr">
        <is>
          <t>BUY</t>
        </is>
      </c>
      <c r="F24" s="6" t="inlineStr">
        <is>
          <t>MO</t>
        </is>
      </c>
      <c r="G24" s="15" t="inlineStr">
        <is>
          <t>Altria Group, Inc.</t>
        </is>
      </c>
      <c r="H24" s="6" t="inlineStr">
        <is>
          <t>NYSE</t>
        </is>
      </c>
      <c r="I24" s="6" t="inlineStr">
        <is>
          <t>filled</t>
        </is>
      </c>
      <c r="J24" s="16" t="n">
        <v>14.214489601</v>
      </c>
      <c r="K24" s="17" t="n">
        <v>73.56999999999999</v>
      </c>
      <c r="L24" s="17">
        <f>IF(AND(ISNUMBER(J24),ISNUMBER(K24)),J24*K24,"")</f>
        <v/>
      </c>
      <c r="M24" s="17" t="n">
        <v>1045.77</v>
      </c>
      <c r="N24" s="16" t="n"/>
      <c r="O24" s="6" t="inlineStr">
        <is>
          <t>4+/5 green</t>
        </is>
      </c>
      <c r="P24" s="15" t="inlineStr">
        <is>
          <t>5 of 5 green, time machine green, rank #4, 8.33% of the $12,554.32 free cash split 12 ways</t>
        </is>
      </c>
      <c r="Q24" s="12" t="n">
        <v>5</v>
      </c>
      <c r="R24" s="6" t="inlineStr">
        <is>
          <t>ok</t>
        </is>
      </c>
      <c r="S24" s="18" t="n">
        <v>0.644</v>
      </c>
      <c r="T24" s="12" t="n">
        <v>45</v>
      </c>
      <c r="U24" s="19" t="n">
        <v>0.0097</v>
      </c>
      <c r="V24" s="19" t="n">
        <v>-0.1395</v>
      </c>
      <c r="W24" s="12" t="n">
        <v>4</v>
      </c>
      <c r="X24" s="6" t="inlineStr">
        <is>
          <t>ok</t>
        </is>
      </c>
      <c r="Y24" s="19" t="n">
        <v>0.0002</v>
      </c>
      <c r="Z24" s="6" t="inlineStr">
        <is>
          <t>ok</t>
        </is>
      </c>
      <c r="AA24" s="12" t="n">
        <v>100</v>
      </c>
      <c r="AB24" s="15" t="n"/>
      <c r="AC24" s="6" t="inlineStr">
        <is>
          <t>ok</t>
        </is>
      </c>
      <c r="AD24" s="6" t="inlineStr">
        <is>
          <t>up</t>
        </is>
      </c>
      <c r="AE24" s="17" t="n">
        <v>74.5009</v>
      </c>
      <c r="AF24" s="17" t="n">
        <v>72.1861</v>
      </c>
      <c r="AG24" s="17" t="n">
        <v>76.8158</v>
      </c>
      <c r="AH24" s="20" t="n">
        <v>46330</v>
      </c>
      <c r="AI24" s="18" t="n">
        <v>0.55</v>
      </c>
      <c r="AJ24" s="6" t="inlineStr">
        <is>
          <t>ok</t>
        </is>
      </c>
      <c r="AK24" s="12" t="n">
        <v>0</v>
      </c>
      <c r="AL24" s="15" t="n"/>
      <c r="AM24" s="17" t="n">
        <v>73.56</v>
      </c>
      <c r="AN24" s="19" t="n">
        <v>0.0016</v>
      </c>
      <c r="AO24" s="17" t="n">
        <v>100357.58</v>
      </c>
      <c r="AP24" s="17" t="n">
        <v>12554.32</v>
      </c>
      <c r="AQ24" s="19" t="n">
        <v>0.0833</v>
      </c>
      <c r="AR24" s="16" t="n"/>
      <c r="AS24" s="17" t="n"/>
      <c r="AT24" s="19" t="n"/>
      <c r="AU24" s="6" t="inlineStr">
        <is>
          <t>paper</t>
        </is>
      </c>
      <c r="AV24" s="6" t="inlineStr">
        <is>
          <t>d54a6aee-45fb-4487-a477-f8cb923f7fd6</t>
        </is>
      </c>
      <c r="AW24" s="6" t="inlineStr">
        <is>
          <t>tdagent-buy-MO-1793200047792</t>
        </is>
      </c>
      <c r="AX24" s="13" t="n">
        <v>46323.63017361111</v>
      </c>
      <c r="AY24" s="13" t="n">
        <v>46323.63018518518</v>
      </c>
      <c r="AZ24" s="13" t="n">
        <v>46323.62954861111</v>
      </c>
      <c r="BA24" s="6" t="n"/>
    </row>
    <row r="25">
      <c r="A25" s="12" t="n">
        <v>24</v>
      </c>
      <c r="B25" s="13" t="n">
        <v>46323.67186342592</v>
      </c>
      <c r="C25" s="13" t="n">
        <v>46323.46353009259</v>
      </c>
      <c r="D25" s="13" t="n">
        <v>46323.63019675926</v>
      </c>
      <c r="E25" s="14" t="inlineStr">
        <is>
          <t>BUY</t>
        </is>
      </c>
      <c r="F25" s="6" t="inlineStr">
        <is>
          <t>KR</t>
        </is>
      </c>
      <c r="G25" s="15" t="inlineStr">
        <is>
          <t>The Kroger Co.</t>
        </is>
      </c>
      <c r="H25" s="6" t="inlineStr">
        <is>
          <t>NYSE</t>
        </is>
      </c>
      <c r="I25" s="6" t="inlineStr">
        <is>
          <t>filled</t>
        </is>
      </c>
      <c r="J25" s="16" t="n">
        <v>15.948757053</v>
      </c>
      <c r="K25" s="17" t="n">
        <v>65.56999999999999</v>
      </c>
      <c r="L25" s="17">
        <f>IF(AND(ISNUMBER(J25),ISNUMBER(K25)),J25*K25,"")</f>
        <v/>
      </c>
      <c r="M25" s="17" t="n">
        <v>1045.77</v>
      </c>
      <c r="N25" s="16" t="n"/>
      <c r="O25" s="6" t="inlineStr">
        <is>
          <t>4+/5 green</t>
        </is>
      </c>
      <c r="P25" s="15" t="inlineStr">
        <is>
          <t>5 of 5 green, time machine green, rank #5, 8.33% of the $12,554.32 free cash split 12 ways</t>
        </is>
      </c>
      <c r="Q25" s="12" t="n">
        <v>5</v>
      </c>
      <c r="R25" s="6" t="inlineStr">
        <is>
          <t>ok</t>
        </is>
      </c>
      <c r="S25" s="18" t="n">
        <v>0.605</v>
      </c>
      <c r="T25" s="12" t="n">
        <v>38</v>
      </c>
      <c r="U25" s="19" t="n">
        <v>0.0136</v>
      </c>
      <c r="V25" s="19" t="n">
        <v>-0.1395</v>
      </c>
      <c r="W25" s="12" t="n">
        <v>5</v>
      </c>
      <c r="X25" s="6" t="inlineStr">
        <is>
          <t>ok</t>
        </is>
      </c>
      <c r="Y25" s="19" t="n">
        <v>0.0002</v>
      </c>
      <c r="Z25" s="6" t="inlineStr">
        <is>
          <t>ok</t>
        </is>
      </c>
      <c r="AA25" s="12" t="n">
        <v>100</v>
      </c>
      <c r="AB25" s="15" t="n"/>
      <c r="AC25" s="6" t="inlineStr">
        <is>
          <t>ok</t>
        </is>
      </c>
      <c r="AD25" s="6" t="inlineStr">
        <is>
          <t>up</t>
        </is>
      </c>
      <c r="AE25" s="17" t="n">
        <v>66.62949999999999</v>
      </c>
      <c r="AF25" s="17" t="n">
        <v>63.9933</v>
      </c>
      <c r="AG25" s="17" t="n">
        <v>69.26560000000001</v>
      </c>
      <c r="AH25" s="20" t="n">
        <v>46330</v>
      </c>
      <c r="AI25" s="18" t="n">
        <v>0.5600000000000001</v>
      </c>
      <c r="AJ25" s="6" t="inlineStr">
        <is>
          <t>ok</t>
        </is>
      </c>
      <c r="AK25" s="12" t="n">
        <v>3</v>
      </c>
      <c r="AL25" s="15" t="inlineStr">
        <is>
          <t>Evercore Maintains Buy Rating on The Kroger Co.</t>
        </is>
      </c>
      <c r="AM25" s="17" t="n">
        <v>65.56</v>
      </c>
      <c r="AN25" s="19" t="n">
        <v>-0.0043</v>
      </c>
      <c r="AO25" s="17" t="n">
        <v>100357.58</v>
      </c>
      <c r="AP25" s="17" t="n">
        <v>12554.32</v>
      </c>
      <c r="AQ25" s="19" t="n">
        <v>0.0833</v>
      </c>
      <c r="AR25" s="16" t="n"/>
      <c r="AS25" s="17" t="n"/>
      <c r="AT25" s="19" t="n"/>
      <c r="AU25" s="6" t="inlineStr">
        <is>
          <t>paper</t>
        </is>
      </c>
      <c r="AV25" s="6" t="inlineStr">
        <is>
          <t>c3da3c32-f2c1-4d43-a318-6418c1dfd3c8</t>
        </is>
      </c>
      <c r="AW25" s="6" t="inlineStr">
        <is>
          <t>tdagent-buy-KR-1793200048071</t>
        </is>
      </c>
      <c r="AX25" s="13" t="n">
        <v>46323.63018518518</v>
      </c>
      <c r="AY25" s="13" t="n">
        <v>46323.63019675926</v>
      </c>
      <c r="AZ25" s="13" t="n">
        <v>46323.62954861111</v>
      </c>
      <c r="BA25" s="6" t="n"/>
    </row>
    <row r="26">
      <c r="A26" s="12" t="n">
        <v>25</v>
      </c>
      <c r="B26" s="13" t="n">
        <v>46323.67186342592</v>
      </c>
      <c r="C26" s="13" t="n">
        <v>46323.46353009259</v>
      </c>
      <c r="D26" s="13" t="n">
        <v>46323.63019675926</v>
      </c>
      <c r="E26" s="14" t="inlineStr">
        <is>
          <t>BUY</t>
        </is>
      </c>
      <c r="F26" s="6" t="inlineStr">
        <is>
          <t>WTW</t>
        </is>
      </c>
      <c r="G26" s="15" t="inlineStr">
        <is>
          <t>Willis Towers Watson Public Limited Company Ordinary Shares</t>
        </is>
      </c>
      <c r="H26" s="6" t="inlineStr">
        <is>
          <t>NASDAQ</t>
        </is>
      </c>
      <c r="I26" s="6" t="inlineStr">
        <is>
          <t>filled</t>
        </is>
      </c>
      <c r="J26" s="16" t="n">
        <v>3.263614517</v>
      </c>
      <c r="K26" s="17" t="n">
        <v>320.43</v>
      </c>
      <c r="L26" s="17">
        <f>IF(AND(ISNUMBER(J26),ISNUMBER(K26)),J26*K26,"")</f>
        <v/>
      </c>
      <c r="M26" s="17" t="n">
        <v>1045.77</v>
      </c>
      <c r="N26" s="16" t="n"/>
      <c r="O26" s="6" t="inlineStr">
        <is>
          <t>4+/5 green</t>
        </is>
      </c>
      <c r="P26" s="15" t="inlineStr">
        <is>
          <t>5 of 5 green, time machine green, rank #6, 8.33% of the $12,554.32 free cash split 12 ways</t>
        </is>
      </c>
      <c r="Q26" s="12" t="n">
        <v>5</v>
      </c>
      <c r="R26" s="6" t="inlineStr">
        <is>
          <t>ok</t>
        </is>
      </c>
      <c r="S26" s="18" t="n">
        <v>0.621</v>
      </c>
      <c r="T26" s="12" t="n">
        <v>29</v>
      </c>
      <c r="U26" s="19" t="n">
        <v>0.0212</v>
      </c>
      <c r="V26" s="19" t="n">
        <v>-0.1395</v>
      </c>
      <c r="W26" s="12" t="n">
        <v>6</v>
      </c>
      <c r="X26" s="6" t="inlineStr">
        <is>
          <t>ok</t>
        </is>
      </c>
      <c r="Y26" s="19" t="n">
        <v>0.0005999999999999999</v>
      </c>
      <c r="Z26" s="6" t="inlineStr">
        <is>
          <t>ok</t>
        </is>
      </c>
      <c r="AA26" s="12" t="n">
        <v>100</v>
      </c>
      <c r="AB26" s="15" t="n"/>
      <c r="AC26" s="6" t="inlineStr">
        <is>
          <t>ok</t>
        </is>
      </c>
      <c r="AD26" s="6" t="inlineStr">
        <is>
          <t>up</t>
        </is>
      </c>
      <c r="AE26" s="17" t="n">
        <v>324.7385</v>
      </c>
      <c r="AF26" s="17" t="n">
        <v>313.4173</v>
      </c>
      <c r="AG26" s="17" t="n">
        <v>336.0597</v>
      </c>
      <c r="AH26" s="20" t="n">
        <v>46330</v>
      </c>
      <c r="AI26" s="18" t="n">
        <v>0.53</v>
      </c>
      <c r="AJ26" s="6" t="inlineStr">
        <is>
          <t>ok</t>
        </is>
      </c>
      <c r="AK26" s="12" t="n">
        <v>0</v>
      </c>
      <c r="AL26" s="15" t="n"/>
      <c r="AM26" s="17" t="n">
        <v>320.21</v>
      </c>
      <c r="AN26" s="19" t="n">
        <v>0.0016</v>
      </c>
      <c r="AO26" s="17" t="n">
        <v>100357.58</v>
      </c>
      <c r="AP26" s="17" t="n">
        <v>12554.32</v>
      </c>
      <c r="AQ26" s="19" t="n">
        <v>0.0833</v>
      </c>
      <c r="AR26" s="16" t="n"/>
      <c r="AS26" s="17" t="n"/>
      <c r="AT26" s="19" t="n"/>
      <c r="AU26" s="6" t="inlineStr">
        <is>
          <t>paper</t>
        </is>
      </c>
      <c r="AV26" s="6" t="inlineStr">
        <is>
          <t>5e449b92-c7e8-4ba7-84b2-04178ba9b5a4</t>
        </is>
      </c>
      <c r="AW26" s="6" t="inlineStr">
        <is>
          <t>tdagent-buy-WTW-1793200048329</t>
        </is>
      </c>
      <c r="AX26" s="13" t="n">
        <v>46323.63018518518</v>
      </c>
      <c r="AY26" s="13" t="n">
        <v>46323.63019675926</v>
      </c>
      <c r="AZ26" s="13" t="n">
        <v>46323.62954861111</v>
      </c>
      <c r="BA26" s="6" t="n"/>
    </row>
    <row r="27">
      <c r="A27" s="12" t="n">
        <v>26</v>
      </c>
      <c r="B27" s="13" t="n">
        <v>46323.67186342592</v>
      </c>
      <c r="C27" s="13" t="n">
        <v>46323.46353009259</v>
      </c>
      <c r="D27" s="13" t="n">
        <v>46323.63019675926</v>
      </c>
      <c r="E27" s="14" t="inlineStr">
        <is>
          <t>BUY</t>
        </is>
      </c>
      <c r="F27" s="6" t="inlineStr">
        <is>
          <t>ABBV</t>
        </is>
      </c>
      <c r="G27" s="15" t="inlineStr">
        <is>
          <t>ABBVIE INC.</t>
        </is>
      </c>
      <c r="H27" s="6" t="inlineStr">
        <is>
          <t>NYSE</t>
        </is>
      </c>
      <c r="I27" s="6" t="inlineStr">
        <is>
          <t>filled</t>
        </is>
      </c>
      <c r="J27" s="16" t="n">
        <v>3.63060686</v>
      </c>
      <c r="K27" s="17" t="n">
        <v>288.04</v>
      </c>
      <c r="L27" s="17">
        <f>IF(AND(ISNUMBER(J27),ISNUMBER(K27)),J27*K27,"")</f>
        <v/>
      </c>
      <c r="M27" s="17" t="n">
        <v>1045.77</v>
      </c>
      <c r="N27" s="16" t="n"/>
      <c r="O27" s="6" t="inlineStr">
        <is>
          <t>4+/5 green</t>
        </is>
      </c>
      <c r="P27" s="15" t="inlineStr">
        <is>
          <t>4 of 5 green, time machine green, rank #8, 8.33% of the $12,554.32 free cash split 12 ways</t>
        </is>
      </c>
      <c r="Q27" s="12" t="n">
        <v>4</v>
      </c>
      <c r="R27" s="6" t="inlineStr">
        <is>
          <t>ok</t>
        </is>
      </c>
      <c r="S27" s="18" t="n">
        <v>0.667</v>
      </c>
      <c r="T27" s="12" t="n">
        <v>39</v>
      </c>
      <c r="U27" s="19" t="n">
        <v>0.0177</v>
      </c>
      <c r="V27" s="19" t="n">
        <v>-0.1395</v>
      </c>
      <c r="W27" s="12" t="n">
        <v>8</v>
      </c>
      <c r="X27" s="6" t="inlineStr">
        <is>
          <t>ok</t>
        </is>
      </c>
      <c r="Y27" s="19" t="n">
        <v>0.0005999999999999999</v>
      </c>
      <c r="Z27" s="6" t="inlineStr">
        <is>
          <t>ok</t>
        </is>
      </c>
      <c r="AA27" s="12" t="n">
        <v>100</v>
      </c>
      <c r="AB27" s="15" t="n"/>
      <c r="AC27" s="6" t="inlineStr">
        <is>
          <t>ok</t>
        </is>
      </c>
      <c r="AD27" s="6" t="inlineStr">
        <is>
          <t>up</t>
        </is>
      </c>
      <c r="AE27" s="17" t="n">
        <v>291.4779</v>
      </c>
      <c r="AF27" s="17" t="n">
        <v>283.5332</v>
      </c>
      <c r="AG27" s="17" t="n">
        <v>299.4226</v>
      </c>
      <c r="AH27" s="20" t="n">
        <v>46330</v>
      </c>
      <c r="AI27" s="18" t="n">
        <v>0.57</v>
      </c>
      <c r="AJ27" s="6" t="inlineStr">
        <is>
          <t>watch</t>
        </is>
      </c>
      <c r="AK27" s="12" t="n">
        <v>6</v>
      </c>
      <c r="AL27" s="15" t="inlineStr">
        <is>
          <t>AbbVie Submits BLA for Etentamig to FDA for Multiple Myeloma</t>
        </is>
      </c>
      <c r="AM27" s="17" t="n">
        <v>288.3</v>
      </c>
      <c r="AN27" s="19" t="n">
        <v>0.0067</v>
      </c>
      <c r="AO27" s="17" t="n">
        <v>100357.58</v>
      </c>
      <c r="AP27" s="17" t="n">
        <v>12554.32</v>
      </c>
      <c r="AQ27" s="19" t="n">
        <v>0.0833</v>
      </c>
      <c r="AR27" s="16" t="n"/>
      <c r="AS27" s="17" t="n"/>
      <c r="AT27" s="19" t="n"/>
      <c r="AU27" s="6" t="inlineStr">
        <is>
          <t>paper</t>
        </is>
      </c>
      <c r="AV27" s="6" t="inlineStr">
        <is>
          <t>8eb89be2-4ca4-45d4-910e-1f166d4d8478</t>
        </is>
      </c>
      <c r="AW27" s="6" t="inlineStr">
        <is>
          <t>tdagent-buy-ABBV-1793200048709</t>
        </is>
      </c>
      <c r="AX27" s="13" t="n">
        <v>46323.63018518518</v>
      </c>
      <c r="AY27" s="13" t="n">
        <v>46323.63019675926</v>
      </c>
      <c r="AZ27" s="13" t="n">
        <v>46323.62954861111</v>
      </c>
      <c r="BA27" s="6" t="n"/>
    </row>
    <row r="28">
      <c r="A28" s="12" t="n">
        <v>27</v>
      </c>
      <c r="B28" s="13" t="n">
        <v>46323.67188657408</v>
      </c>
      <c r="C28" s="13" t="n">
        <v>46323.46355324074</v>
      </c>
      <c r="D28" s="13" t="n">
        <v>46323.63021990741</v>
      </c>
      <c r="E28" s="14" t="inlineStr">
        <is>
          <t>BUY</t>
        </is>
      </c>
      <c r="F28" s="6" t="inlineStr">
        <is>
          <t>EQNR</t>
        </is>
      </c>
      <c r="G28" s="15" t="inlineStr">
        <is>
          <t>Equinor ASA American Depositary Shares (Each Representing One Ordinary Share, nominal value NOK 2.50 per share)</t>
        </is>
      </c>
      <c r="H28" s="6" t="inlineStr">
        <is>
          <t>NYSE</t>
        </is>
      </c>
      <c r="I28" s="6" t="inlineStr">
        <is>
          <t>filled</t>
        </is>
      </c>
      <c r="J28" s="16" t="n">
        <v>21.932885906</v>
      </c>
      <c r="K28" s="17" t="n">
        <v>47.68</v>
      </c>
      <c r="L28" s="17">
        <f>IF(AND(ISNUMBER(J28),ISNUMBER(K28)),J28*K28,"")</f>
        <v/>
      </c>
      <c r="M28" s="17" t="n">
        <v>1045.77</v>
      </c>
      <c r="N28" s="16" t="n"/>
      <c r="O28" s="6" t="inlineStr">
        <is>
          <t>4+/5 green</t>
        </is>
      </c>
      <c r="P28" s="15" t="inlineStr">
        <is>
          <t>4 of 5 green, time machine green, rank #11, 8.33% of the $12,554.32 free cash split 12 ways</t>
        </is>
      </c>
      <c r="Q28" s="12" t="n">
        <v>4</v>
      </c>
      <c r="R28" s="6" t="inlineStr">
        <is>
          <t>ok</t>
        </is>
      </c>
      <c r="S28" s="18" t="n">
        <v>0.662</v>
      </c>
      <c r="T28" s="12" t="n">
        <v>77</v>
      </c>
      <c r="U28" s="19" t="n">
        <v>0.0135</v>
      </c>
      <c r="V28" s="19" t="n">
        <v>-0.1395</v>
      </c>
      <c r="W28" s="12" t="n">
        <v>11</v>
      </c>
      <c r="X28" s="6" t="inlineStr">
        <is>
          <t>ok</t>
        </is>
      </c>
      <c r="Y28" s="19" t="n">
        <v>0.0004</v>
      </c>
      <c r="Z28" s="6" t="inlineStr">
        <is>
          <t>ok</t>
        </is>
      </c>
      <c r="AA28" s="12" t="n">
        <v>100</v>
      </c>
      <c r="AB28" s="15" t="n"/>
      <c r="AC28" s="6" t="inlineStr">
        <is>
          <t>ok</t>
        </is>
      </c>
      <c r="AD28" s="6" t="inlineStr">
        <is>
          <t>up</t>
        </is>
      </c>
      <c r="AE28" s="17" t="n">
        <v>48.5643</v>
      </c>
      <c r="AF28" s="17" t="n">
        <v>46.2786</v>
      </c>
      <c r="AG28" s="17" t="n">
        <v>50.85</v>
      </c>
      <c r="AH28" s="20" t="n">
        <v>46330</v>
      </c>
      <c r="AI28" s="18" t="n">
        <v>0.55</v>
      </c>
      <c r="AJ28" s="6" t="inlineStr">
        <is>
          <t>watch</t>
        </is>
      </c>
      <c r="AK28" s="12" t="n">
        <v>8</v>
      </c>
      <c r="AL28" s="15" t="inlineStr">
        <is>
          <t>Equinor Q3 2026 Earnings Call Transcript</t>
        </is>
      </c>
      <c r="AM28" s="17" t="n">
        <v>47.63</v>
      </c>
      <c r="AN28" s="19" t="n">
        <v>0.0129</v>
      </c>
      <c r="AO28" s="17" t="n">
        <v>100357.58</v>
      </c>
      <c r="AP28" s="17" t="n">
        <v>12554.32</v>
      </c>
      <c r="AQ28" s="19" t="n">
        <v>0.0833</v>
      </c>
      <c r="AR28" s="16" t="n"/>
      <c r="AS28" s="17" t="n"/>
      <c r="AT28" s="19" t="n"/>
      <c r="AU28" s="6" t="inlineStr">
        <is>
          <t>paper</t>
        </is>
      </c>
      <c r="AV28" s="6" t="inlineStr">
        <is>
          <t>b2ebe048-4e00-46e3-ad7e-fd294b463157</t>
        </is>
      </c>
      <c r="AW28" s="6" t="inlineStr">
        <is>
          <t>tdagent-buy-EQNR-1793200049275</t>
        </is>
      </c>
      <c r="AX28" s="13" t="n">
        <v>46323.63019675926</v>
      </c>
      <c r="AY28" s="13" t="n">
        <v>46323.63021990741</v>
      </c>
      <c r="AZ28" s="13" t="n">
        <v>46323.62954861111</v>
      </c>
      <c r="BA28" s="6" t="n"/>
    </row>
    <row r="29">
      <c r="A29" s="12" t="n">
        <v>28</v>
      </c>
      <c r="B29" s="13" t="n">
        <v>46323.671875</v>
      </c>
      <c r="C29" s="13" t="n">
        <v>46323.46354166666</v>
      </c>
      <c r="D29" s="13" t="n">
        <v>46323.63020833334</v>
      </c>
      <c r="E29" s="14" t="inlineStr">
        <is>
          <t>BUY</t>
        </is>
      </c>
      <c r="F29" s="6" t="inlineStr">
        <is>
          <t>ADP</t>
        </is>
      </c>
      <c r="G29" s="15" t="inlineStr">
        <is>
          <t>Automatic Data Processing, Inc. Common Stock</t>
        </is>
      </c>
      <c r="H29" s="6" t="inlineStr">
        <is>
          <t>NASDAQ</t>
        </is>
      </c>
      <c r="I29" s="6" t="inlineStr">
        <is>
          <t>filled</t>
        </is>
      </c>
      <c r="J29" s="16" t="n">
        <v>3.676298952</v>
      </c>
      <c r="K29" s="17" t="n">
        <v>284.46</v>
      </c>
      <c r="L29" s="17">
        <f>IF(AND(ISNUMBER(J29),ISNUMBER(K29)),J29*K29,"")</f>
        <v/>
      </c>
      <c r="M29" s="17" t="n">
        <v>1045.77</v>
      </c>
      <c r="N29" s="16" t="n"/>
      <c r="O29" s="6" t="inlineStr">
        <is>
          <t>4+/5 green</t>
        </is>
      </c>
      <c r="P29" s="15" t="inlineStr">
        <is>
          <t>4 of 5 green, time machine green, rank #12, 8.33% of the $12,554.32 free cash split 12 ways</t>
        </is>
      </c>
      <c r="Q29" s="12" t="n">
        <v>4</v>
      </c>
      <c r="R29" s="6" t="inlineStr">
        <is>
          <t>ok</t>
        </is>
      </c>
      <c r="S29" s="18" t="n">
        <v>0.648</v>
      </c>
      <c r="T29" s="12" t="n">
        <v>54</v>
      </c>
      <c r="U29" s="19" t="n">
        <v>0.0132</v>
      </c>
      <c r="V29" s="19" t="n">
        <v>-0.1395</v>
      </c>
      <c r="W29" s="12" t="n">
        <v>12</v>
      </c>
      <c r="X29" s="6" t="inlineStr">
        <is>
          <t>ok</t>
        </is>
      </c>
      <c r="Y29" s="19" t="n">
        <v>0.0018</v>
      </c>
      <c r="Z29" s="6" t="inlineStr">
        <is>
          <t>ok</t>
        </is>
      </c>
      <c r="AA29" s="12" t="n">
        <v>100</v>
      </c>
      <c r="AB29" s="15" t="n"/>
      <c r="AC29" s="6" t="inlineStr">
        <is>
          <t>ok</t>
        </is>
      </c>
      <c r="AD29" s="6" t="inlineStr">
        <is>
          <t>up</t>
        </is>
      </c>
      <c r="AE29" s="17" t="n">
        <v>288.7555</v>
      </c>
      <c r="AF29" s="17" t="n">
        <v>278.8917</v>
      </c>
      <c r="AG29" s="17" t="n">
        <v>298.6194</v>
      </c>
      <c r="AH29" s="20" t="n">
        <v>46330</v>
      </c>
      <c r="AI29" s="18" t="n">
        <v>0.5600000000000001</v>
      </c>
      <c r="AJ29" s="6" t="inlineStr">
        <is>
          <t>watch</t>
        </is>
      </c>
      <c r="AK29" s="12" t="n">
        <v>9</v>
      </c>
      <c r="AL29" s="15" t="inlineStr">
        <is>
          <t>Automatic Data Processing Q1 2027 Earnings Call Transcript</t>
        </is>
      </c>
      <c r="AM29" s="17" t="n">
        <v>284.29</v>
      </c>
      <c r="AN29" s="19" t="n">
        <v>-0.0278</v>
      </c>
      <c r="AO29" s="17" t="n">
        <v>100357.58</v>
      </c>
      <c r="AP29" s="17" t="n">
        <v>12554.32</v>
      </c>
      <c r="AQ29" s="19" t="n">
        <v>0.0833</v>
      </c>
      <c r="AR29" s="16" t="n"/>
      <c r="AS29" s="17" t="n"/>
      <c r="AT29" s="19" t="n"/>
      <c r="AU29" s="6" t="inlineStr">
        <is>
          <t>paper</t>
        </is>
      </c>
      <c r="AV29" s="6" t="inlineStr">
        <is>
          <t>ebfbb0f0-7770-43ff-9da5-d7832ec8fefe</t>
        </is>
      </c>
      <c r="AW29" s="6" t="inlineStr">
        <is>
          <t>tdagent-buy-ADP-1793200049536</t>
        </is>
      </c>
      <c r="AX29" s="13" t="n">
        <v>46323.63019675926</v>
      </c>
      <c r="AY29" s="13" t="n">
        <v>46323.63020833334</v>
      </c>
      <c r="AZ29" s="13" t="n">
        <v>46323.62954861111</v>
      </c>
      <c r="BA29" s="6" t="n"/>
    </row>
    <row r="30">
      <c r="A30" s="12" t="n">
        <v>29</v>
      </c>
      <c r="B30" s="13" t="n">
        <v>46323.67188657408</v>
      </c>
      <c r="C30" s="13" t="n">
        <v>46323.46355324074</v>
      </c>
      <c r="D30" s="13" t="n">
        <v>46323.63021990741</v>
      </c>
      <c r="E30" s="14" t="inlineStr">
        <is>
          <t>BUY</t>
        </is>
      </c>
      <c r="F30" s="6" t="inlineStr">
        <is>
          <t>CTSH</t>
        </is>
      </c>
      <c r="G30" s="15" t="inlineStr">
        <is>
          <t>Cognizant Technology Solutions Corporation Class A Common Stock</t>
        </is>
      </c>
      <c r="H30" s="6" t="inlineStr">
        <is>
          <t>NASDAQ</t>
        </is>
      </c>
      <c r="I30" s="6" t="inlineStr">
        <is>
          <t>filled</t>
        </is>
      </c>
      <c r="J30" s="16" t="n">
        <v>15.713899323</v>
      </c>
      <c r="K30" s="17" t="n">
        <v>66.55</v>
      </c>
      <c r="L30" s="17">
        <f>IF(AND(ISNUMBER(J30),ISNUMBER(K30)),J30*K30,"")</f>
        <v/>
      </c>
      <c r="M30" s="17" t="n">
        <v>1045.77</v>
      </c>
      <c r="N30" s="16" t="n"/>
      <c r="O30" s="6" t="inlineStr">
        <is>
          <t>4+/5 green</t>
        </is>
      </c>
      <c r="P30" s="15" t="inlineStr">
        <is>
          <t>4 of 5 green, time machine green, rank #13, 8.33% of the $12,554.32 free cash split 12 ways</t>
        </is>
      </c>
      <c r="Q30" s="12" t="n">
        <v>4</v>
      </c>
      <c r="R30" s="6" t="inlineStr">
        <is>
          <t>ok</t>
        </is>
      </c>
      <c r="S30" s="18" t="n">
        <v>0.587</v>
      </c>
      <c r="T30" s="12" t="n">
        <v>46</v>
      </c>
      <c r="U30" s="19" t="n">
        <v>0.0115</v>
      </c>
      <c r="V30" s="19" t="n">
        <v>-0.1395</v>
      </c>
      <c r="W30" s="12" t="n">
        <v>13</v>
      </c>
      <c r="X30" s="6" t="inlineStr">
        <is>
          <t>ok</t>
        </is>
      </c>
      <c r="Y30" s="19" t="n">
        <v>0.0003</v>
      </c>
      <c r="Z30" s="6" t="inlineStr">
        <is>
          <t>ok</t>
        </is>
      </c>
      <c r="AA30" s="12" t="n">
        <v>100</v>
      </c>
      <c r="AB30" s="15" t="n"/>
      <c r="AC30" s="6" t="inlineStr">
        <is>
          <t>ok</t>
        </is>
      </c>
      <c r="AD30" s="6" t="inlineStr">
        <is>
          <t>up</t>
        </is>
      </c>
      <c r="AE30" s="17" t="n">
        <v>68.1648</v>
      </c>
      <c r="AF30" s="17" t="n">
        <v>64.25279999999999</v>
      </c>
      <c r="AG30" s="17" t="n">
        <v>72.0767</v>
      </c>
      <c r="AH30" s="20" t="n">
        <v>46330</v>
      </c>
      <c r="AI30" s="18" t="n">
        <v>0.55</v>
      </c>
      <c r="AJ30" s="6" t="inlineStr">
        <is>
          <t>watch</t>
        </is>
      </c>
      <c r="AK30" s="12" t="n">
        <v>10</v>
      </c>
      <c r="AL30" s="15" t="inlineStr">
        <is>
          <t>Morgan Stanley Downgrades Cognizant Technology Solutions to Neutral</t>
        </is>
      </c>
      <c r="AM30" s="17" t="n">
        <v>66.58</v>
      </c>
      <c r="AN30" s="19" t="n">
        <v>0.0059</v>
      </c>
      <c r="AO30" s="17" t="n">
        <v>100357.58</v>
      </c>
      <c r="AP30" s="17" t="n">
        <v>12554.32</v>
      </c>
      <c r="AQ30" s="19" t="n">
        <v>0.0833</v>
      </c>
      <c r="AR30" s="16" t="n"/>
      <c r="AS30" s="17" t="n"/>
      <c r="AT30" s="19" t="n"/>
      <c r="AU30" s="6" t="inlineStr">
        <is>
          <t>paper</t>
        </is>
      </c>
      <c r="AV30" s="6" t="inlineStr">
        <is>
          <t>96d36240-c72a-4a79-8467-1c5b3b8d6462</t>
        </is>
      </c>
      <c r="AW30" s="6" t="inlineStr">
        <is>
          <t>tdagent-buy-CTSH-1793200049798</t>
        </is>
      </c>
      <c r="AX30" s="13" t="n">
        <v>46323.63019675926</v>
      </c>
      <c r="AY30" s="13" t="n">
        <v>46323.63021990741</v>
      </c>
      <c r="AZ30" s="13" t="n">
        <v>46323.62954861111</v>
      </c>
      <c r="BA30" s="6" t="n"/>
    </row>
    <row r="31">
      <c r="A31" s="12" t="n">
        <v>30</v>
      </c>
      <c r="B31" s="13" t="n">
        <v>46323.671875</v>
      </c>
      <c r="C31" s="13" t="n">
        <v>46323.46354166666</v>
      </c>
      <c r="D31" s="13" t="n">
        <v>46323.63020833334</v>
      </c>
      <c r="E31" s="14" t="inlineStr">
        <is>
          <t>BUY</t>
        </is>
      </c>
      <c r="F31" s="6" t="inlineStr">
        <is>
          <t>MA</t>
        </is>
      </c>
      <c r="G31" s="15" t="inlineStr">
        <is>
          <t>Mastercard Incorporated</t>
        </is>
      </c>
      <c r="H31" s="6" t="inlineStr">
        <is>
          <t>NYSE</t>
        </is>
      </c>
      <c r="I31" s="6" t="inlineStr">
        <is>
          <t>filled</t>
        </is>
      </c>
      <c r="J31" s="16" t="n">
        <v>1.704058088</v>
      </c>
      <c r="K31" s="17" t="n">
        <v>613.688</v>
      </c>
      <c r="L31" s="17">
        <f>IF(AND(ISNUMBER(J31),ISNUMBER(K31)),J31*K31,"")</f>
        <v/>
      </c>
      <c r="M31" s="17" t="n">
        <v>1045.77</v>
      </c>
      <c r="N31" s="16" t="n"/>
      <c r="O31" s="6" t="inlineStr">
        <is>
          <t>4+/5 green</t>
        </is>
      </c>
      <c r="P31" s="15" t="inlineStr">
        <is>
          <t>4 of 5 green, time machine green, rank #14, 8.33% of the $12,554.32 free cash split 12 ways</t>
        </is>
      </c>
      <c r="Q31" s="12" t="n">
        <v>4</v>
      </c>
      <c r="R31" s="6" t="inlineStr">
        <is>
          <t>ok</t>
        </is>
      </c>
      <c r="S31" s="18" t="n">
        <v>0.553</v>
      </c>
      <c r="T31" s="12" t="n">
        <v>47</v>
      </c>
      <c r="U31" s="19" t="n">
        <v>0.006500000000000001</v>
      </c>
      <c r="V31" s="19" t="n">
        <v>-0.1395</v>
      </c>
      <c r="W31" s="12" t="n">
        <v>14</v>
      </c>
      <c r="X31" s="6" t="inlineStr">
        <is>
          <t>ok</t>
        </is>
      </c>
      <c r="Y31" s="19" t="n">
        <v>0.0005999999999999999</v>
      </c>
      <c r="Z31" s="6" t="inlineStr">
        <is>
          <t>ok</t>
        </is>
      </c>
      <c r="AA31" s="12" t="n">
        <v>100</v>
      </c>
      <c r="AB31" s="15" t="n"/>
      <c r="AC31" s="6" t="inlineStr">
        <is>
          <t>ok</t>
        </is>
      </c>
      <c r="AD31" s="6" t="inlineStr">
        <is>
          <t>up</t>
        </is>
      </c>
      <c r="AE31" s="17" t="n">
        <v>620.3299</v>
      </c>
      <c r="AF31" s="17" t="n">
        <v>604.5177</v>
      </c>
      <c r="AG31" s="17" t="n">
        <v>636.1421</v>
      </c>
      <c r="AH31" s="20" t="n">
        <v>46330</v>
      </c>
      <c r="AI31" s="18" t="n">
        <v>0.57</v>
      </c>
      <c r="AJ31" s="6" t="inlineStr">
        <is>
          <t>watch</t>
        </is>
      </c>
      <c r="AK31" s="12" t="n">
        <v>8</v>
      </c>
      <c r="AL31" s="15" t="inlineStr">
        <is>
          <t>Visa Earnings Prediction Market Preview: What Will Ryan McInerney Say?</t>
        </is>
      </c>
      <c r="AM31" s="17" t="n">
        <v>613.705</v>
      </c>
      <c r="AN31" s="19" t="n">
        <v>0.0068</v>
      </c>
      <c r="AO31" s="17" t="n">
        <v>100357.58</v>
      </c>
      <c r="AP31" s="17" t="n">
        <v>12554.32</v>
      </c>
      <c r="AQ31" s="19" t="n">
        <v>0.0833</v>
      </c>
      <c r="AR31" s="16" t="n"/>
      <c r="AS31" s="17" t="n"/>
      <c r="AT31" s="19" t="n"/>
      <c r="AU31" s="6" t="inlineStr">
        <is>
          <t>paper</t>
        </is>
      </c>
      <c r="AV31" s="6" t="inlineStr">
        <is>
          <t>394e3ad3-8d54-4448-ba7c-fce04cf9d2f4</t>
        </is>
      </c>
      <c r="AW31" s="6" t="inlineStr">
        <is>
          <t>tdagent-buy-MA-1793200050051</t>
        </is>
      </c>
      <c r="AX31" s="13" t="n">
        <v>46323.63020833334</v>
      </c>
      <c r="AY31" s="13" t="n">
        <v>46323.63020833334</v>
      </c>
      <c r="AZ31" s="13" t="n">
        <v>46323.62954861111</v>
      </c>
      <c r="BA31" s="6" t="n"/>
    </row>
    <row r="32">
      <c r="A32" s="12" t="n">
        <v>31</v>
      </c>
      <c r="B32" s="13" t="n">
        <v>46323.671875</v>
      </c>
      <c r="C32" s="13" t="n">
        <v>46323.46354166666</v>
      </c>
      <c r="D32" s="13" t="n">
        <v>46323.63020833334</v>
      </c>
      <c r="E32" s="14" t="inlineStr">
        <is>
          <t>BUY</t>
        </is>
      </c>
      <c r="F32" s="6" t="inlineStr">
        <is>
          <t>CNC</t>
        </is>
      </c>
      <c r="G32" s="15" t="inlineStr">
        <is>
          <t>Centene Corporation</t>
        </is>
      </c>
      <c r="H32" s="6" t="inlineStr">
        <is>
          <t>NYSE</t>
        </is>
      </c>
      <c r="I32" s="6" t="inlineStr">
        <is>
          <t>filled</t>
        </is>
      </c>
      <c r="J32" s="16" t="n">
        <v>15.180142255</v>
      </c>
      <c r="K32" s="17" t="n">
        <v>68.89</v>
      </c>
      <c r="L32" s="17">
        <f>IF(AND(ISNUMBER(J32),ISNUMBER(K32)),J32*K32,"")</f>
        <v/>
      </c>
      <c r="M32" s="17" t="n">
        <v>1045.77</v>
      </c>
      <c r="N32" s="16" t="n"/>
      <c r="O32" s="6" t="inlineStr">
        <is>
          <t>4+/5 green</t>
        </is>
      </c>
      <c r="P32" s="15" t="inlineStr">
        <is>
          <t>4 of 5 green, time machine green, rank #15, 8.33% of the $12,554.32 free cash split 12 ways</t>
        </is>
      </c>
      <c r="Q32" s="12" t="n">
        <v>4</v>
      </c>
      <c r="R32" s="6" t="inlineStr">
        <is>
          <t>ok</t>
        </is>
      </c>
      <c r="S32" s="18" t="n">
        <v>0.5679999999999999</v>
      </c>
      <c r="T32" s="12" t="n">
        <v>44</v>
      </c>
      <c r="U32" s="19" t="n">
        <v>0.0126</v>
      </c>
      <c r="V32" s="19" t="n">
        <v>-0.1395</v>
      </c>
      <c r="W32" s="12" t="n">
        <v>15</v>
      </c>
      <c r="X32" s="6" t="inlineStr">
        <is>
          <t>ok</t>
        </is>
      </c>
      <c r="Y32" s="19" t="n">
        <v>0.0007000000000000001</v>
      </c>
      <c r="Z32" s="6" t="inlineStr">
        <is>
          <t>ok</t>
        </is>
      </c>
      <c r="AA32" s="12" t="n">
        <v>100</v>
      </c>
      <c r="AB32" s="15" t="n"/>
      <c r="AC32" s="6" t="inlineStr">
        <is>
          <t>ok</t>
        </is>
      </c>
      <c r="AD32" s="6" t="inlineStr">
        <is>
          <t>up</t>
        </is>
      </c>
      <c r="AE32" s="17" t="n">
        <v>70.1768</v>
      </c>
      <c r="AF32" s="17" t="n">
        <v>66.9598</v>
      </c>
      <c r="AG32" s="17" t="n">
        <v>73.3939</v>
      </c>
      <c r="AH32" s="20" t="n">
        <v>46330</v>
      </c>
      <c r="AI32" s="18" t="n">
        <v>0.53</v>
      </c>
      <c r="AJ32" s="6" t="inlineStr">
        <is>
          <t>watch</t>
        </is>
      </c>
      <c r="AK32" s="12" t="n">
        <v>10</v>
      </c>
      <c r="AL32" s="15" t="inlineStr">
        <is>
          <t>Cantor Fitzgerald Upgrades Centene to Overweight and Raises Price Target to $79</t>
        </is>
      </c>
      <c r="AM32" s="17" t="n">
        <v>68.94</v>
      </c>
      <c r="AN32" s="19" t="n">
        <v>0.0013</v>
      </c>
      <c r="AO32" s="17" t="n">
        <v>100357.58</v>
      </c>
      <c r="AP32" s="17" t="n">
        <v>12554.32</v>
      </c>
      <c r="AQ32" s="19" t="n">
        <v>0.0833</v>
      </c>
      <c r="AR32" s="16" t="n"/>
      <c r="AS32" s="17" t="n"/>
      <c r="AT32" s="19" t="n"/>
      <c r="AU32" s="6" t="inlineStr">
        <is>
          <t>paper</t>
        </is>
      </c>
      <c r="AV32" s="6" t="inlineStr">
        <is>
          <t>545413f4-a3a5-4501-a6a3-27a435a4337f</t>
        </is>
      </c>
      <c r="AW32" s="6" t="inlineStr">
        <is>
          <t>tdagent-buy-CNC-1793200050304</t>
        </is>
      </c>
      <c r="AX32" s="13" t="n">
        <v>46323.63020833334</v>
      </c>
      <c r="AY32" s="13" t="n">
        <v>46323.63020833334</v>
      </c>
      <c r="AZ32" s="13" t="n">
        <v>46323.62954861111</v>
      </c>
      <c r="BA32" s="6" t="n"/>
    </row>
    <row r="33">
      <c r="A33" s="12" t="n">
        <v>32</v>
      </c>
      <c r="B33" s="13" t="n">
        <v>46323.67340277778</v>
      </c>
      <c r="C33" s="13" t="n">
        <v>46323.46506944444</v>
      </c>
      <c r="D33" s="13" t="n">
        <v>46323.63173611111</v>
      </c>
      <c r="E33" s="21" t="inlineStr">
        <is>
          <t>SELL</t>
        </is>
      </c>
      <c r="F33" s="6" t="inlineStr">
        <is>
          <t>ADP</t>
        </is>
      </c>
      <c r="G33" s="15" t="inlineStr">
        <is>
          <t>ADP</t>
        </is>
      </c>
      <c r="H33" s="6" t="inlineStr">
        <is>
          <t>NASDAQ</t>
        </is>
      </c>
      <c r="I33" s="6" t="inlineStr">
        <is>
          <t>filled</t>
        </is>
      </c>
      <c r="J33" s="16" t="n">
        <v>3.676298952</v>
      </c>
      <c r="K33" s="17" t="n">
        <v>283.51</v>
      </c>
      <c r="L33" s="17">
        <f>IF(AND(ISNUMBER(J33),ISNUMBER(K33)),J33*K33,"")</f>
        <v/>
      </c>
      <c r="M33" s="17" t="n"/>
      <c r="N33" s="16" t="n">
        <v>3.676298952</v>
      </c>
      <c r="O33" s="6" t="inlineStr">
        <is>
          <t>bad day</t>
        </is>
      </c>
      <c r="P33" s="15" t="inlineStr">
        <is>
          <t>Bad day: down 3.1% today and only 4 of 5 green</t>
        </is>
      </c>
      <c r="Q33" s="12" t="n">
        <v>4</v>
      </c>
      <c r="R33" s="6" t="inlineStr">
        <is>
          <t>ok</t>
        </is>
      </c>
      <c r="S33" s="18" t="n">
        <v>0.648</v>
      </c>
      <c r="T33" s="12" t="n">
        <v>54</v>
      </c>
      <c r="U33" s="19" t="n">
        <v>0.0132</v>
      </c>
      <c r="V33" s="19" t="n">
        <v>-0.1395</v>
      </c>
      <c r="W33" s="12" t="n"/>
      <c r="X33" s="6" t="inlineStr">
        <is>
          <t>ok</t>
        </is>
      </c>
      <c r="Y33" s="19" t="n">
        <v>0.0001</v>
      </c>
      <c r="Z33" s="6" t="inlineStr">
        <is>
          <t>ok</t>
        </is>
      </c>
      <c r="AA33" s="12" t="n">
        <v>100</v>
      </c>
      <c r="AB33" s="15" t="n"/>
      <c r="AC33" s="6" t="inlineStr">
        <is>
          <t>ok</t>
        </is>
      </c>
      <c r="AD33" s="6" t="inlineStr">
        <is>
          <t>up</t>
        </is>
      </c>
      <c r="AE33" s="17" t="n">
        <v>288.361</v>
      </c>
      <c r="AF33" s="17" t="n">
        <v>278.4835</v>
      </c>
      <c r="AG33" s="17" t="n">
        <v>298.2385</v>
      </c>
      <c r="AH33" s="20" t="n">
        <v>46330</v>
      </c>
      <c r="AI33" s="18" t="n">
        <v>0.5600000000000001</v>
      </c>
      <c r="AJ33" s="6" t="inlineStr">
        <is>
          <t>watch</t>
        </is>
      </c>
      <c r="AK33" s="12" t="n">
        <v>9</v>
      </c>
      <c r="AL33" s="15" t="inlineStr">
        <is>
          <t>Automatic Data Processing Q1 2027 Earnings Call Transcript</t>
        </is>
      </c>
      <c r="AM33" s="17" t="n">
        <v>284.44</v>
      </c>
      <c r="AN33" s="19" t="n">
        <v>-0.0291</v>
      </c>
      <c r="AO33" s="17" t="n">
        <v>100436.88</v>
      </c>
      <c r="AP33" s="17" t="n">
        <v>5.2</v>
      </c>
      <c r="AQ33" s="19" t="n">
        <v>0.0833</v>
      </c>
      <c r="AR33" s="16" t="n">
        <v>3.676298952</v>
      </c>
      <c r="AS33" s="17" t="n">
        <v>284.46</v>
      </c>
      <c r="AT33" s="19" t="n">
        <v>-0.0017</v>
      </c>
      <c r="AU33" s="6" t="inlineStr">
        <is>
          <t>paper</t>
        </is>
      </c>
      <c r="AV33" s="6" t="inlineStr">
        <is>
          <t>91487c54-b2fb-4b1a-a476-77ac1f697fc3</t>
        </is>
      </c>
      <c r="AW33" s="6" t="inlineStr">
        <is>
          <t>tdagent-sell-ADP-1793200180561</t>
        </is>
      </c>
      <c r="AX33" s="13" t="n">
        <v>46323.63171296296</v>
      </c>
      <c r="AY33" s="13" t="n">
        <v>46323.63173611111</v>
      </c>
      <c r="AZ33" s="13" t="n">
        <v>46323.63150462963</v>
      </c>
      <c r="BA33" s="6" t="n"/>
    </row>
    <row r="34">
      <c r="A34" s="12" t="n">
        <v>33</v>
      </c>
      <c r="B34" s="13" t="n">
        <v>46323.67767361111</v>
      </c>
      <c r="C34" s="13" t="n">
        <v>46323.46934027778</v>
      </c>
      <c r="D34" s="13" t="n">
        <v>46323.63600694444</v>
      </c>
      <c r="E34" s="21" t="inlineStr">
        <is>
          <t>SELL</t>
        </is>
      </c>
      <c r="F34" s="6" t="inlineStr">
        <is>
          <t>MA</t>
        </is>
      </c>
      <c r="G34" s="15" t="inlineStr">
        <is>
          <t>MA</t>
        </is>
      </c>
      <c r="H34" s="6" t="inlineStr">
        <is>
          <t>NYSE</t>
        </is>
      </c>
      <c r="I34" s="6" t="inlineStr">
        <is>
          <t>filled</t>
        </is>
      </c>
      <c r="J34" s="16" t="n">
        <v>0.852029044</v>
      </c>
      <c r="K34" s="17" t="n">
        <v>614.554</v>
      </c>
      <c r="L34" s="17">
        <f>IF(AND(ISNUMBER(J34),ISNUMBER(K34)),J34*K34,"")</f>
        <v/>
      </c>
      <c r="M34" s="17" t="n"/>
      <c r="N34" s="16" t="n">
        <v>0.852029044</v>
      </c>
      <c r="O34" s="6" t="inlineStr">
        <is>
          <t>3 green: sell half</t>
        </is>
      </c>
      <c r="P34" s="15" t="inlineStr">
        <is>
          <t>3 of 5 green: start selling (half)</t>
        </is>
      </c>
      <c r="Q34" s="12" t="n">
        <v>3</v>
      </c>
      <c r="R34" s="6" t="inlineStr">
        <is>
          <t>ok</t>
        </is>
      </c>
      <c r="S34" s="18" t="n">
        <v>0.553</v>
      </c>
      <c r="T34" s="12" t="n">
        <v>47</v>
      </c>
      <c r="U34" s="19" t="n">
        <v>0.006500000000000001</v>
      </c>
      <c r="V34" s="19" t="n">
        <v>-0.1395</v>
      </c>
      <c r="W34" s="12" t="n"/>
      <c r="X34" s="6" t="inlineStr">
        <is>
          <t>ok</t>
        </is>
      </c>
      <c r="Y34" s="19" t="n">
        <v>0.0001</v>
      </c>
      <c r="Z34" s="6" t="inlineStr">
        <is>
          <t>ok</t>
        </is>
      </c>
      <c r="AA34" s="12" t="n">
        <v>100</v>
      </c>
      <c r="AB34" s="15" t="n"/>
      <c r="AC34" s="6" t="inlineStr">
        <is>
          <t>watch</t>
        </is>
      </c>
      <c r="AD34" s="6" t="inlineStr">
        <is>
          <t>flat</t>
        </is>
      </c>
      <c r="AE34" s="17" t="n">
        <v>614.625</v>
      </c>
      <c r="AF34" s="17" t="n">
        <v>598.7848</v>
      </c>
      <c r="AG34" s="17" t="n">
        <v>630.4652</v>
      </c>
      <c r="AH34" s="20" t="n">
        <v>46330</v>
      </c>
      <c r="AI34" s="18" t="n">
        <v>0.5</v>
      </c>
      <c r="AJ34" s="6" t="inlineStr">
        <is>
          <t>watch</t>
        </is>
      </c>
      <c r="AK34" s="12" t="n">
        <v>8</v>
      </c>
      <c r="AL34" s="15" t="inlineStr">
        <is>
          <t>Visa Earnings Prediction Market Preview: What Will Ryan McInerney Say?</t>
        </is>
      </c>
      <c r="AM34" s="17" t="n">
        <v>614.625</v>
      </c>
      <c r="AN34" s="19" t="n">
        <v>0.007800000000000001</v>
      </c>
      <c r="AO34" s="17" t="n">
        <v>100369.37</v>
      </c>
      <c r="AP34" s="17" t="n">
        <v>1047.47</v>
      </c>
      <c r="AQ34" s="19" t="n">
        <v>0.0833</v>
      </c>
      <c r="AR34" s="16" t="n">
        <v>1.704058088</v>
      </c>
      <c r="AS34" s="17" t="n">
        <v>613.688</v>
      </c>
      <c r="AT34" s="19" t="n">
        <v>0.0019</v>
      </c>
      <c r="AU34" s="6" t="inlineStr">
        <is>
          <t>paper</t>
        </is>
      </c>
      <c r="AV34" s="6" t="inlineStr">
        <is>
          <t>2a80a5f5-7036-429a-a454-9494a1feec10</t>
        </is>
      </c>
      <c r="AW34" s="6" t="inlineStr">
        <is>
          <t>tdagent-sell-MA-1793200550863</t>
        </is>
      </c>
      <c r="AX34" s="13" t="n">
        <v>46323.63599537037</v>
      </c>
      <c r="AY34" s="13" t="n">
        <v>46323.63600694444</v>
      </c>
      <c r="AZ34" s="13" t="n">
        <v>46323.63568287037</v>
      </c>
      <c r="BA34" s="6" t="n"/>
    </row>
    <row r="35">
      <c r="A35" s="12" t="n">
        <v>34</v>
      </c>
      <c r="B35" s="13" t="n">
        <v>46323.67767361111</v>
      </c>
      <c r="C35" s="13" t="n">
        <v>46323.46934027778</v>
      </c>
      <c r="D35" s="13" t="n">
        <v>46323.63600694444</v>
      </c>
      <c r="E35" s="14" t="inlineStr">
        <is>
          <t>BUY</t>
        </is>
      </c>
      <c r="F35" s="6" t="inlineStr">
        <is>
          <t>MPC</t>
        </is>
      </c>
      <c r="G35" s="15" t="inlineStr">
        <is>
          <t>MARATHON PETROLEUM CORPORATION</t>
        </is>
      </c>
      <c r="H35" s="6" t="inlineStr">
        <is>
          <t>NYSE</t>
        </is>
      </c>
      <c r="I35" s="6" t="inlineStr">
        <is>
          <t>filled</t>
        </is>
      </c>
      <c r="J35" s="16" t="n">
        <v>0.19946772</v>
      </c>
      <c r="K35" s="17" t="n">
        <v>437.364</v>
      </c>
      <c r="L35" s="17">
        <f>IF(AND(ISNUMBER(J35),ISNUMBER(K35)),J35*K35,"")</f>
        <v/>
      </c>
      <c r="M35" s="17" t="n">
        <v>87.25</v>
      </c>
      <c r="N35" s="16" t="n"/>
      <c r="O35" s="6" t="inlineStr">
        <is>
          <t>4+/5 green</t>
        </is>
      </c>
      <c r="P35" s="15" t="inlineStr">
        <is>
          <t>4 of 5 green, time machine green, rank #5, 8.33% of the $1,047.47 free cash split 12 ways</t>
        </is>
      </c>
      <c r="Q35" s="12" t="n">
        <v>4</v>
      </c>
      <c r="R35" s="6" t="inlineStr">
        <is>
          <t>ok</t>
        </is>
      </c>
      <c r="S35" s="18" t="n">
        <v>0.674</v>
      </c>
      <c r="T35" s="12" t="n">
        <v>86</v>
      </c>
      <c r="U35" s="19" t="n">
        <v>0.0246</v>
      </c>
      <c r="V35" s="19" t="n">
        <v>-0.1395</v>
      </c>
      <c r="W35" s="12" t="n">
        <v>5</v>
      </c>
      <c r="X35" s="6" t="inlineStr">
        <is>
          <t>ok</t>
        </is>
      </c>
      <c r="Y35" s="19" t="n">
        <v>0.0011</v>
      </c>
      <c r="Z35" s="6" t="inlineStr">
        <is>
          <t>ok</t>
        </is>
      </c>
      <c r="AA35" s="12" t="n">
        <v>80</v>
      </c>
      <c r="AB35" s="15" t="inlineStr">
        <is>
          <t>One day (-7.4%) did 74% of the 10-day move. The trend rests on a single jump.</t>
        </is>
      </c>
      <c r="AC35" s="6" t="inlineStr">
        <is>
          <t>ok</t>
        </is>
      </c>
      <c r="AD35" s="6" t="inlineStr">
        <is>
          <t>up</t>
        </is>
      </c>
      <c r="AE35" s="17" t="n">
        <v>446.2446</v>
      </c>
      <c r="AF35" s="17" t="n">
        <v>422.0831</v>
      </c>
      <c r="AG35" s="17" t="n">
        <v>470.4061</v>
      </c>
      <c r="AH35" s="20" t="n">
        <v>46330</v>
      </c>
      <c r="AI35" s="18" t="n">
        <v>0.54</v>
      </c>
      <c r="AJ35" s="6" t="inlineStr">
        <is>
          <t>watch</t>
        </is>
      </c>
      <c r="AK35" s="12" t="n">
        <v>4</v>
      </c>
      <c r="AL35" s="15" t="inlineStr">
        <is>
          <t>Refiner Stocks Suffer Worst Day Since the Tariff Shock: The Threat Is Not Cheaper Oil</t>
        </is>
      </c>
      <c r="AM35" s="17" t="n">
        <v>436.58</v>
      </c>
      <c r="AN35" s="19" t="n">
        <v>0.0015</v>
      </c>
      <c r="AO35" s="17" t="n">
        <v>100369.37</v>
      </c>
      <c r="AP35" s="17" t="n">
        <v>1047.47</v>
      </c>
      <c r="AQ35" s="19" t="n">
        <v>0.0833</v>
      </c>
      <c r="AR35" s="16" t="n"/>
      <c r="AS35" s="17" t="n"/>
      <c r="AT35" s="19" t="n"/>
      <c r="AU35" s="6" t="inlineStr">
        <is>
          <t>paper</t>
        </is>
      </c>
      <c r="AV35" s="6" t="inlineStr">
        <is>
          <t>795c1192-92f0-4087-a19e-e4a4afbb099c</t>
        </is>
      </c>
      <c r="AW35" s="6" t="inlineStr">
        <is>
          <t>tdagent-buy-MPC-1793200551740</t>
        </is>
      </c>
      <c r="AX35" s="13" t="n">
        <v>46323.63600694444</v>
      </c>
      <c r="AY35" s="13" t="n">
        <v>46323.63600694444</v>
      </c>
      <c r="AZ35" s="13" t="n">
        <v>46323.63568287037</v>
      </c>
      <c r="BA35" s="6" t="n"/>
    </row>
    <row r="36">
      <c r="A36" s="12" t="n">
        <v>35</v>
      </c>
      <c r="B36" s="13" t="n">
        <v>46323.67768518518</v>
      </c>
      <c r="C36" s="13" t="n">
        <v>46323.46935185185</v>
      </c>
      <c r="D36" s="13" t="n">
        <v>46323.63601851852</v>
      </c>
      <c r="E36" s="14" t="inlineStr">
        <is>
          <t>BUY</t>
        </is>
      </c>
      <c r="F36" s="6" t="inlineStr">
        <is>
          <t>EQT</t>
        </is>
      </c>
      <c r="G36" s="15" t="inlineStr">
        <is>
          <t>EQT CORP</t>
        </is>
      </c>
      <c r="H36" s="6" t="inlineStr">
        <is>
          <t>NYSE</t>
        </is>
      </c>
      <c r="I36" s="6" t="inlineStr">
        <is>
          <t>filled</t>
        </is>
      </c>
      <c r="J36" s="16" t="n">
        <v>1.562264961</v>
      </c>
      <c r="K36" s="17" t="n">
        <v>55.842</v>
      </c>
      <c r="L36" s="17">
        <f>IF(AND(ISNUMBER(J36),ISNUMBER(K36)),J36*K36,"")</f>
        <v/>
      </c>
      <c r="M36" s="17" t="n">
        <v>87.25</v>
      </c>
      <c r="N36" s="16" t="n"/>
      <c r="O36" s="6" t="inlineStr">
        <is>
          <t>4+/5 green</t>
        </is>
      </c>
      <c r="P36" s="15" t="inlineStr">
        <is>
          <t>4 of 5 green, time machine green, rank #6, 8.33% of the $1,047.47 free cash split 12 ways</t>
        </is>
      </c>
      <c r="Q36" s="12" t="n">
        <v>4</v>
      </c>
      <c r="R36" s="6" t="inlineStr">
        <is>
          <t>ok</t>
        </is>
      </c>
      <c r="S36" s="18" t="n">
        <v>0.552</v>
      </c>
      <c r="T36" s="12" t="n">
        <v>29</v>
      </c>
      <c r="U36" s="19" t="n">
        <v>0.0017</v>
      </c>
      <c r="V36" s="19" t="n">
        <v>-0.1395</v>
      </c>
      <c r="W36" s="12" t="n">
        <v>6</v>
      </c>
      <c r="X36" s="6" t="inlineStr">
        <is>
          <t>ok</t>
        </is>
      </c>
      <c r="Y36" s="19" t="n">
        <v>0.0004</v>
      </c>
      <c r="Z36" s="6" t="inlineStr">
        <is>
          <t>ok</t>
        </is>
      </c>
      <c r="AA36" s="12" t="n">
        <v>90</v>
      </c>
      <c r="AB36" s="15" t="inlineStr">
        <is>
          <t>Price gapped 5.1% at an open in the last week.</t>
        </is>
      </c>
      <c r="AC36" s="6" t="inlineStr">
        <is>
          <t>ok</t>
        </is>
      </c>
      <c r="AD36" s="6" t="inlineStr">
        <is>
          <t>up</t>
        </is>
      </c>
      <c r="AE36" s="17" t="n">
        <v>56.5868</v>
      </c>
      <c r="AF36" s="17" t="n">
        <v>54.5198</v>
      </c>
      <c r="AG36" s="17" t="n">
        <v>58.6539</v>
      </c>
      <c r="AH36" s="20" t="n">
        <v>46330</v>
      </c>
      <c r="AI36" s="18" t="n">
        <v>0.54</v>
      </c>
      <c r="AJ36" s="6" t="inlineStr">
        <is>
          <t>watch</t>
        </is>
      </c>
      <c r="AK36" s="12" t="n">
        <v>10</v>
      </c>
      <c r="AL36" s="15" t="inlineStr">
        <is>
          <t>UBS Maintains Buy on EQT, Lowers Price Target to $75</t>
        </is>
      </c>
      <c r="AM36" s="17" t="n">
        <v>55.78</v>
      </c>
      <c r="AN36" s="19" t="n">
        <v>-0.009399999999999999</v>
      </c>
      <c r="AO36" s="17" t="n">
        <v>100369.37</v>
      </c>
      <c r="AP36" s="17" t="n">
        <v>1047.47</v>
      </c>
      <c r="AQ36" s="19" t="n">
        <v>0.0833</v>
      </c>
      <c r="AR36" s="16" t="n"/>
      <c r="AS36" s="17" t="n"/>
      <c r="AT36" s="19" t="n"/>
      <c r="AU36" s="6" t="inlineStr">
        <is>
          <t>paper</t>
        </is>
      </c>
      <c r="AV36" s="6" t="inlineStr">
        <is>
          <t>8dda163c-11b6-4647-b796-a4421efe2a2c</t>
        </is>
      </c>
      <c r="AW36" s="6" t="inlineStr">
        <is>
          <t>tdagent-buy-EQT-1793200552082</t>
        </is>
      </c>
      <c r="AX36" s="13" t="n">
        <v>46323.63601851852</v>
      </c>
      <c r="AY36" s="13" t="n">
        <v>46323.63601851852</v>
      </c>
      <c r="AZ36" s="13" t="n">
        <v>46323.63568287037</v>
      </c>
      <c r="BA36" s="6" t="n"/>
    </row>
    <row r="37">
      <c r="A37" s="12" t="n">
        <v>36</v>
      </c>
      <c r="B37" s="13" t="n">
        <v>46323.67768518518</v>
      </c>
      <c r="C37" s="13" t="n">
        <v>46323.46935185185</v>
      </c>
      <c r="D37" s="13" t="n">
        <v>46323.63601851852</v>
      </c>
      <c r="E37" s="14" t="inlineStr">
        <is>
          <t>BUY</t>
        </is>
      </c>
      <c r="F37" s="6" t="inlineStr">
        <is>
          <t>PSX</t>
        </is>
      </c>
      <c r="G37" s="15" t="inlineStr">
        <is>
          <t>PHILLIPS 66</t>
        </is>
      </c>
      <c r="H37" s="6" t="inlineStr">
        <is>
          <t>NYSE</t>
        </is>
      </c>
      <c r="I37" s="6" t="inlineStr">
        <is>
          <t>filled</t>
        </is>
      </c>
      <c r="J37" s="16" t="n">
        <v>0.323158986</v>
      </c>
      <c r="K37" s="17" t="n">
        <v>269.96</v>
      </c>
      <c r="L37" s="17">
        <f>IF(AND(ISNUMBER(J37),ISNUMBER(K37)),J37*K37,"")</f>
        <v/>
      </c>
      <c r="M37" s="17" t="n">
        <v>87.25</v>
      </c>
      <c r="N37" s="16" t="n"/>
      <c r="O37" s="6" t="inlineStr">
        <is>
          <t>4+/5 green</t>
        </is>
      </c>
      <c r="P37" s="15" t="inlineStr">
        <is>
          <t>4 of 5 green, time machine green, rank #7, 8.33% of the $1,047.47 free cash split 12 ways</t>
        </is>
      </c>
      <c r="Q37" s="12" t="n">
        <v>4</v>
      </c>
      <c r="R37" s="6" t="inlineStr">
        <is>
          <t>ok</t>
        </is>
      </c>
      <c r="S37" s="18" t="n">
        <v>0.569</v>
      </c>
      <c r="T37" s="12" t="n">
        <v>72</v>
      </c>
      <c r="U37" s="19" t="n">
        <v>0.015</v>
      </c>
      <c r="V37" s="19" t="n">
        <v>-0.1395</v>
      </c>
      <c r="W37" s="12" t="n">
        <v>7</v>
      </c>
      <c r="X37" s="6" t="inlineStr">
        <is>
          <t>ok</t>
        </is>
      </c>
      <c r="Y37" s="19" t="n">
        <v>0.0016</v>
      </c>
      <c r="Z37" s="6" t="inlineStr">
        <is>
          <t>ok</t>
        </is>
      </c>
      <c r="AA37" s="12" t="n">
        <v>80</v>
      </c>
      <c r="AB37" s="15" t="inlineStr">
        <is>
          <t>One day (-7.0%) did 75% of the 10-day move. The trend rests on a single jump.</t>
        </is>
      </c>
      <c r="AC37" s="6" t="inlineStr">
        <is>
          <t>ok</t>
        </is>
      </c>
      <c r="AD37" s="6" t="inlineStr">
        <is>
          <t>up</t>
        </is>
      </c>
      <c r="AE37" s="17" t="n">
        <v>274.4826</v>
      </c>
      <c r="AF37" s="17" t="n">
        <v>261.9386</v>
      </c>
      <c r="AG37" s="17" t="n">
        <v>287.0267</v>
      </c>
      <c r="AH37" s="20" t="n">
        <v>46330</v>
      </c>
      <c r="AI37" s="18" t="n">
        <v>0.53</v>
      </c>
      <c r="AJ37" s="6" t="inlineStr">
        <is>
          <t>watch</t>
        </is>
      </c>
      <c r="AK37" s="12" t="n">
        <v>9</v>
      </c>
      <c r="AL37" s="15" t="inlineStr">
        <is>
          <t>Refiner Stocks Suffer Worst Day Since the Tariff Shock: The Threat Is Not Cheaper Oil</t>
        </is>
      </c>
      <c r="AM37" s="17" t="n">
        <v>269.89</v>
      </c>
      <c r="AN37" s="19" t="n">
        <v>0.004</v>
      </c>
      <c r="AO37" s="17" t="n">
        <v>100369.37</v>
      </c>
      <c r="AP37" s="17" t="n">
        <v>1047.47</v>
      </c>
      <c r="AQ37" s="19" t="n">
        <v>0.0833</v>
      </c>
      <c r="AR37" s="16" t="n"/>
      <c r="AS37" s="17" t="n"/>
      <c r="AT37" s="19" t="n"/>
      <c r="AU37" s="6" t="inlineStr">
        <is>
          <t>paper</t>
        </is>
      </c>
      <c r="AV37" s="6" t="inlineStr">
        <is>
          <t>13fe6aef-0823-407e-9dae-d781ac0376cd</t>
        </is>
      </c>
      <c r="AW37" s="6" t="inlineStr">
        <is>
          <t>tdagent-buy-PSX-1793200552421</t>
        </is>
      </c>
      <c r="AX37" s="13" t="n">
        <v>46323.63601851852</v>
      </c>
      <c r="AY37" s="13" t="n">
        <v>46323.63601851852</v>
      </c>
      <c r="AZ37" s="13" t="n">
        <v>46323.63568287037</v>
      </c>
      <c r="BA37" s="6" t="n"/>
    </row>
    <row r="38">
      <c r="A38" s="12" t="n">
        <v>37</v>
      </c>
      <c r="B38" s="13" t="n">
        <v>46323.689375</v>
      </c>
      <c r="C38" s="13" t="n">
        <v>46323.48104166667</v>
      </c>
      <c r="D38" s="13" t="n">
        <v>46323.64770833333</v>
      </c>
      <c r="E38" s="21" t="inlineStr">
        <is>
          <t>SELL</t>
        </is>
      </c>
      <c r="F38" s="6" t="inlineStr">
        <is>
          <t>CNC</t>
        </is>
      </c>
      <c r="G38" s="15" t="inlineStr">
        <is>
          <t>CNC</t>
        </is>
      </c>
      <c r="H38" s="6" t="inlineStr">
        <is>
          <t>NYSE</t>
        </is>
      </c>
      <c r="I38" s="6" t="inlineStr">
        <is>
          <t>filled</t>
        </is>
      </c>
      <c r="J38" s="16" t="n">
        <v>7.590071127</v>
      </c>
      <c r="K38" s="17" t="n">
        <v>69.01000000000001</v>
      </c>
      <c r="L38" s="17">
        <f>IF(AND(ISNUMBER(J38),ISNUMBER(K38)),J38*K38,"")</f>
        <v/>
      </c>
      <c r="M38" s="17" t="n"/>
      <c r="N38" s="16" t="n">
        <v>7.590071127</v>
      </c>
      <c r="O38" s="6" t="inlineStr">
        <is>
          <t>3 green: sell half</t>
        </is>
      </c>
      <c r="P38" s="15" t="inlineStr">
        <is>
          <t>3 of 5 green: start selling (half)</t>
        </is>
      </c>
      <c r="Q38" s="12" t="n">
        <v>3</v>
      </c>
      <c r="R38" s="6" t="inlineStr">
        <is>
          <t>ok</t>
        </is>
      </c>
      <c r="S38" s="18" t="n">
        <v>0.5679999999999999</v>
      </c>
      <c r="T38" s="12" t="n">
        <v>44</v>
      </c>
      <c r="U38" s="19" t="n">
        <v>0.0126</v>
      </c>
      <c r="V38" s="19" t="n">
        <v>-0.1395</v>
      </c>
      <c r="W38" s="12" t="n"/>
      <c r="X38" s="6" t="inlineStr">
        <is>
          <t>watch</t>
        </is>
      </c>
      <c r="Y38" s="19" t="n">
        <v>0.009599999999999999</v>
      </c>
      <c r="Z38" s="6" t="inlineStr">
        <is>
          <t>ok</t>
        </is>
      </c>
      <c r="AA38" s="12" t="n">
        <v>100</v>
      </c>
      <c r="AB38" s="15" t="n"/>
      <c r="AC38" s="6" t="inlineStr">
        <is>
          <t>ok</t>
        </is>
      </c>
      <c r="AD38" s="6" t="inlineStr">
        <is>
          <t>up</t>
        </is>
      </c>
      <c r="AE38" s="17" t="n">
        <v>70.3807</v>
      </c>
      <c r="AF38" s="17" t="n">
        <v>67.15389999999999</v>
      </c>
      <c r="AG38" s="17" t="n">
        <v>73.60760000000001</v>
      </c>
      <c r="AH38" s="20" t="n">
        <v>46330</v>
      </c>
      <c r="AI38" s="18" t="n">
        <v>0.53</v>
      </c>
      <c r="AJ38" s="6" t="inlineStr">
        <is>
          <t>watch</t>
        </is>
      </c>
      <c r="AK38" s="12" t="n">
        <v>10</v>
      </c>
      <c r="AL38" s="15" t="inlineStr">
        <is>
          <t>Cantor Fitzgerald Upgrades Centene to Overweight and Raises Price Target to $79</t>
        </is>
      </c>
      <c r="AM38" s="17" t="n">
        <v>69.09</v>
      </c>
      <c r="AN38" s="19" t="n">
        <v>0.0042</v>
      </c>
      <c r="AO38" s="17" t="n">
        <v>100387.39</v>
      </c>
      <c r="AP38" s="17" t="n">
        <v>1309.37</v>
      </c>
      <c r="AQ38" s="19" t="n">
        <v>0.0833</v>
      </c>
      <c r="AR38" s="16" t="n">
        <v>15.180142255</v>
      </c>
      <c r="AS38" s="17" t="n">
        <v>68.89</v>
      </c>
      <c r="AT38" s="19" t="n">
        <v>0.0021</v>
      </c>
      <c r="AU38" s="6" t="inlineStr">
        <is>
          <t>paper</t>
        </is>
      </c>
      <c r="AV38" s="6" t="inlineStr">
        <is>
          <t>3b93b9ef-5e93-4cd1-a10b-1cea19899888</t>
        </is>
      </c>
      <c r="AW38" s="6" t="inlineStr">
        <is>
          <t>tdagent-sell-CNC-1793201560611</t>
        </is>
      </c>
      <c r="AX38" s="13" t="n">
        <v>46323.64768518518</v>
      </c>
      <c r="AY38" s="13" t="n">
        <v>46323.64770833333</v>
      </c>
      <c r="AZ38" s="13" t="n">
        <v>46323.64743055555</v>
      </c>
      <c r="BA38" s="6" t="n"/>
    </row>
    <row r="39">
      <c r="A39" s="12" t="n">
        <v>38</v>
      </c>
      <c r="B39" s="13" t="n">
        <v>46323.68936342592</v>
      </c>
      <c r="C39" s="13" t="n">
        <v>46323.48103009259</v>
      </c>
      <c r="D39" s="13" t="n">
        <v>46323.64769675926</v>
      </c>
      <c r="E39" s="14" t="inlineStr">
        <is>
          <t>BUY</t>
        </is>
      </c>
      <c r="F39" s="6" t="inlineStr">
        <is>
          <t>DINO</t>
        </is>
      </c>
      <c r="G39" s="15" t="inlineStr">
        <is>
          <t>HF Sinclair Corporation</t>
        </is>
      </c>
      <c r="H39" s="6" t="inlineStr">
        <is>
          <t>NYSE</t>
        </is>
      </c>
      <c r="I39" s="6" t="inlineStr">
        <is>
          <t>filled</t>
        </is>
      </c>
      <c r="J39" s="16" t="n">
        <v>0.973941309</v>
      </c>
      <c r="K39" s="17" t="n">
        <v>111.978</v>
      </c>
      <c r="L39" s="17">
        <f>IF(AND(ISNUMBER(J39),ISNUMBER(K39)),J39*K39,"")</f>
        <v/>
      </c>
      <c r="M39" s="17" t="n">
        <v>109.07</v>
      </c>
      <c r="N39" s="16" t="n"/>
      <c r="O39" s="6" t="inlineStr">
        <is>
          <t>4+/5 green</t>
        </is>
      </c>
      <c r="P39" s="15" t="inlineStr">
        <is>
          <t>4 of 5 green, time machine green, rank #5, 8.33% of the $1,309.37 free cash split 12 ways</t>
        </is>
      </c>
      <c r="Q39" s="12" t="n">
        <v>4</v>
      </c>
      <c r="R39" s="6" t="inlineStr">
        <is>
          <t>ok</t>
        </is>
      </c>
      <c r="S39" s="18" t="n">
        <v>0.6</v>
      </c>
      <c r="T39" s="12" t="n">
        <v>70</v>
      </c>
      <c r="U39" s="19" t="n">
        <v>0.0194</v>
      </c>
      <c r="V39" s="19" t="n">
        <v>-0.1395</v>
      </c>
      <c r="W39" s="12" t="n">
        <v>5</v>
      </c>
      <c r="X39" s="6" t="inlineStr">
        <is>
          <t>ok</t>
        </is>
      </c>
      <c r="Y39" s="19" t="n">
        <v>0.0028</v>
      </c>
      <c r="Z39" s="6" t="inlineStr">
        <is>
          <t>ok</t>
        </is>
      </c>
      <c r="AA39" s="12" t="n">
        <v>80</v>
      </c>
      <c r="AB39" s="15" t="inlineStr">
        <is>
          <t>One day (-8.9%) did 73% of the 10-day move. The trend rests on a single jump.</t>
        </is>
      </c>
      <c r="AC39" s="6" t="inlineStr">
        <is>
          <t>ok</t>
        </is>
      </c>
      <c r="AD39" s="6" t="inlineStr">
        <is>
          <t>up</t>
        </is>
      </c>
      <c r="AE39" s="17" t="n">
        <v>114.8338</v>
      </c>
      <c r="AF39" s="17" t="n">
        <v>108.2243</v>
      </c>
      <c r="AG39" s="17" t="n">
        <v>121.4432</v>
      </c>
      <c r="AH39" s="20" t="n">
        <v>46330</v>
      </c>
      <c r="AI39" s="18" t="n">
        <v>0.53</v>
      </c>
      <c r="AJ39" s="6" t="inlineStr">
        <is>
          <t>watch</t>
        </is>
      </c>
      <c r="AK39" s="12" t="n">
        <v>10</v>
      </c>
      <c r="AL39" s="15" t="inlineStr">
        <is>
          <t>HF Sinclair Q3 2026 Earnings Call Transcript</t>
        </is>
      </c>
      <c r="AM39" s="17" t="n">
        <v>112.31</v>
      </c>
      <c r="AN39" s="19" t="n">
        <v>-0.0169</v>
      </c>
      <c r="AO39" s="17" t="n">
        <v>100387.39</v>
      </c>
      <c r="AP39" s="17" t="n">
        <v>1309.37</v>
      </c>
      <c r="AQ39" s="19" t="n">
        <v>0.0833</v>
      </c>
      <c r="AR39" s="16" t="n"/>
      <c r="AS39" s="17" t="n"/>
      <c r="AT39" s="19" t="n"/>
      <c r="AU39" s="6" t="inlineStr">
        <is>
          <t>paper</t>
        </is>
      </c>
      <c r="AV39" s="6" t="inlineStr">
        <is>
          <t>f522894d-4a29-4dac-9deb-1e6b36780c89</t>
        </is>
      </c>
      <c r="AW39" s="6" t="inlineStr">
        <is>
          <t>tdagent-buy-DINO-1793201561401</t>
        </is>
      </c>
      <c r="AX39" s="13" t="n">
        <v>46323.64769675926</v>
      </c>
      <c r="AY39" s="13" t="n">
        <v>46323.64769675926</v>
      </c>
      <c r="AZ39" s="13" t="n">
        <v>46323.64743055555</v>
      </c>
      <c r="BA39" s="6" t="n"/>
    </row>
    <row r="40">
      <c r="A40" s="12" t="n">
        <v>39</v>
      </c>
      <c r="B40" s="13" t="n">
        <v>46323.69346064814</v>
      </c>
      <c r="C40" s="13" t="n">
        <v>46323.48512731482</v>
      </c>
      <c r="D40" s="13" t="n">
        <v>46323.65179398148</v>
      </c>
      <c r="E40" s="21" t="inlineStr">
        <is>
          <t>SELL</t>
        </is>
      </c>
      <c r="F40" s="6" t="inlineStr">
        <is>
          <t>DINO</t>
        </is>
      </c>
      <c r="G40" s="15" t="inlineStr">
        <is>
          <t>DINO</t>
        </is>
      </c>
      <c r="H40" s="6" t="inlineStr">
        <is>
          <t>NYSE</t>
        </is>
      </c>
      <c r="I40" s="6" t="inlineStr">
        <is>
          <t>filled</t>
        </is>
      </c>
      <c r="J40" s="16" t="n">
        <v>0.486970654</v>
      </c>
      <c r="K40" s="17" t="n">
        <v>111.736</v>
      </c>
      <c r="L40" s="17">
        <f>IF(AND(ISNUMBER(J40),ISNUMBER(K40)),J40*K40,"")</f>
        <v/>
      </c>
      <c r="M40" s="17" t="n"/>
      <c r="N40" s="16" t="n">
        <v>0.486970654</v>
      </c>
      <c r="O40" s="6" t="inlineStr">
        <is>
          <t>3 green: sell half</t>
        </is>
      </c>
      <c r="P40" s="15" t="inlineStr">
        <is>
          <t>3 of 5 green: start selling (half)</t>
        </is>
      </c>
      <c r="Q40" s="12" t="n">
        <v>3</v>
      </c>
      <c r="R40" s="6" t="inlineStr">
        <is>
          <t>ok</t>
        </is>
      </c>
      <c r="S40" s="18" t="n">
        <v>0.6</v>
      </c>
      <c r="T40" s="12" t="n">
        <v>70</v>
      </c>
      <c r="U40" s="19" t="n">
        <v>0.0194</v>
      </c>
      <c r="V40" s="19" t="n">
        <v>-0.1395</v>
      </c>
      <c r="W40" s="12" t="n"/>
      <c r="X40" s="6" t="inlineStr">
        <is>
          <t>ok</t>
        </is>
      </c>
      <c r="Y40" s="19" t="n">
        <v>0.0004</v>
      </c>
      <c r="Z40" s="6" t="inlineStr">
        <is>
          <t>ok</t>
        </is>
      </c>
      <c r="AA40" s="12" t="n">
        <v>80</v>
      </c>
      <c r="AB40" s="15" t="inlineStr">
        <is>
          <t>One day (-8.9%) did 72% of the 10-day move. The trend rests on a single jump.</t>
        </is>
      </c>
      <c r="AC40" s="6" t="inlineStr">
        <is>
          <t>watch</t>
        </is>
      </c>
      <c r="AD40" s="6" t="inlineStr">
        <is>
          <t>flat</t>
        </is>
      </c>
      <c r="AE40" s="17" t="n">
        <v>111.92</v>
      </c>
      <c r="AF40" s="17" t="n">
        <v>105.318</v>
      </c>
      <c r="AG40" s="17" t="n">
        <v>118.522</v>
      </c>
      <c r="AH40" s="20" t="n">
        <v>46330</v>
      </c>
      <c r="AI40" s="18" t="n">
        <v>0.5</v>
      </c>
      <c r="AJ40" s="6" t="inlineStr">
        <is>
          <t>watch</t>
        </is>
      </c>
      <c r="AK40" s="12" t="n">
        <v>10</v>
      </c>
      <c r="AL40" s="15" t="inlineStr">
        <is>
          <t>HF Sinclair Q3 2026 Earnings Call Transcript</t>
        </is>
      </c>
      <c r="AM40" s="17" t="n">
        <v>111.92</v>
      </c>
      <c r="AN40" s="19" t="n">
        <v>-0.0193</v>
      </c>
      <c r="AO40" s="17" t="n">
        <v>100311.45</v>
      </c>
      <c r="AP40" s="17" t="n">
        <v>1724.1</v>
      </c>
      <c r="AQ40" s="19" t="n">
        <v>0.0833</v>
      </c>
      <c r="AR40" s="16" t="n">
        <v>0.973941309</v>
      </c>
      <c r="AS40" s="17" t="n">
        <v>111.978</v>
      </c>
      <c r="AT40" s="19" t="n">
        <v>-0.0015</v>
      </c>
      <c r="AU40" s="6" t="inlineStr">
        <is>
          <t>paper</t>
        </is>
      </c>
      <c r="AV40" s="6" t="inlineStr">
        <is>
          <t>b7e8fde4-772d-45c4-baa3-f36239fb4db9</t>
        </is>
      </c>
      <c r="AW40" s="6" t="inlineStr">
        <is>
          <t>tdagent-sell-DINO-1793201915224</t>
        </is>
      </c>
      <c r="AX40" s="13" t="n">
        <v>46323.65179398148</v>
      </c>
      <c r="AY40" s="13" t="n">
        <v>46323.65179398148</v>
      </c>
      <c r="AZ40" s="13" t="n">
        <v>46323.65157407407</v>
      </c>
      <c r="BA40" s="6" t="n"/>
    </row>
    <row r="41">
      <c r="A41" s="12" t="n">
        <v>40</v>
      </c>
      <c r="B41" s="13" t="n">
        <v>46323.70951388889</v>
      </c>
      <c r="C41" s="13" t="n">
        <v>46323.50118055556</v>
      </c>
      <c r="D41" s="13" t="n">
        <v>46323.66784722222</v>
      </c>
      <c r="E41" s="14" t="inlineStr">
        <is>
          <t>BUY</t>
        </is>
      </c>
      <c r="F41" s="6" t="inlineStr">
        <is>
          <t>LLY</t>
        </is>
      </c>
      <c r="G41" s="15" t="inlineStr">
        <is>
          <t>Eli Lilly &amp; Co.</t>
        </is>
      </c>
      <c r="H41" s="6" t="inlineStr">
        <is>
          <t>NYSE</t>
        </is>
      </c>
      <c r="I41" s="6" t="inlineStr">
        <is>
          <t>filled</t>
        </is>
      </c>
      <c r="J41" s="16" t="n">
        <v>0.114688452</v>
      </c>
      <c r="K41" s="17" t="n">
        <v>1291.586</v>
      </c>
      <c r="L41" s="17">
        <f>IF(AND(ISNUMBER(J41),ISNUMBER(K41)),J41*K41,"")</f>
        <v/>
      </c>
      <c r="M41" s="17" t="n">
        <v>148.14</v>
      </c>
      <c r="N41" s="16" t="n"/>
      <c r="O41" s="6" t="inlineStr">
        <is>
          <t>4+/5 green</t>
        </is>
      </c>
      <c r="P41" s="15" t="inlineStr">
        <is>
          <t>4 of 5 green, time machine green, rank #5, 8.33% of the $1,778.51 free cash split 12 ways</t>
        </is>
      </c>
      <c r="Q41" s="12" t="n">
        <v>4</v>
      </c>
      <c r="R41" s="6" t="inlineStr">
        <is>
          <t>ok</t>
        </is>
      </c>
      <c r="S41" s="18" t="n">
        <v>0.574</v>
      </c>
      <c r="T41" s="12" t="n">
        <v>68</v>
      </c>
      <c r="U41" s="19" t="n">
        <v>0.0075</v>
      </c>
      <c r="V41" s="19" t="n">
        <v>-0.1395</v>
      </c>
      <c r="W41" s="12" t="n">
        <v>5</v>
      </c>
      <c r="X41" s="6" t="inlineStr">
        <is>
          <t>ok</t>
        </is>
      </c>
      <c r="Y41" s="19" t="n">
        <v>0.0005999999999999999</v>
      </c>
      <c r="Z41" s="6" t="inlineStr">
        <is>
          <t>ok</t>
        </is>
      </c>
      <c r="AA41" s="12" t="n">
        <v>100</v>
      </c>
      <c r="AB41" s="15" t="n"/>
      <c r="AC41" s="6" t="inlineStr">
        <is>
          <t>ok</t>
        </is>
      </c>
      <c r="AD41" s="6" t="inlineStr">
        <is>
          <t>up</t>
        </is>
      </c>
      <c r="AE41" s="17" t="n">
        <v>1312.6967</v>
      </c>
      <c r="AF41" s="17" t="n">
        <v>1259.8799</v>
      </c>
      <c r="AG41" s="17" t="n">
        <v>1365.5136</v>
      </c>
      <c r="AH41" s="20" t="n">
        <v>46330</v>
      </c>
      <c r="AI41" s="18" t="n">
        <v>0.55</v>
      </c>
      <c r="AJ41" s="6" t="inlineStr">
        <is>
          <t>watch</t>
        </is>
      </c>
      <c r="AK41" s="12" t="n">
        <v>10</v>
      </c>
      <c r="AL41" s="15" t="inlineStr">
        <is>
          <t>Top Wall Street Forecasters Revamp Eli Lilly Expectations Ahead Of Q3 Earnings</t>
        </is>
      </c>
      <c r="AM41" s="17" t="n">
        <v>1291.56</v>
      </c>
      <c r="AN41" s="19" t="n">
        <v>0.007800000000000001</v>
      </c>
      <c r="AO41" s="17" t="n">
        <v>100276.25</v>
      </c>
      <c r="AP41" s="17" t="n">
        <v>1778.51</v>
      </c>
      <c r="AQ41" s="19" t="n">
        <v>0.0833</v>
      </c>
      <c r="AR41" s="16" t="n"/>
      <c r="AS41" s="17" t="n"/>
      <c r="AT41" s="19" t="n"/>
      <c r="AU41" s="6" t="inlineStr">
        <is>
          <t>paper</t>
        </is>
      </c>
      <c r="AV41" s="6" t="inlineStr">
        <is>
          <t>a897d815-b832-49ce-9b72-e2ae4abe5680</t>
        </is>
      </c>
      <c r="AW41" s="6" t="inlineStr">
        <is>
          <t>tdagent-buy-LLY-1793203302691</t>
        </is>
      </c>
      <c r="AX41" s="13" t="n">
        <v>46323.66784722222</v>
      </c>
      <c r="AY41" s="13" t="n">
        <v>46323.66784722222</v>
      </c>
      <c r="AZ41" s="13" t="n">
        <v>46323.6675462963</v>
      </c>
      <c r="BA41" s="6" t="n"/>
    </row>
    <row r="42">
      <c r="A42" s="12" t="n">
        <v>41</v>
      </c>
      <c r="B42" s="13" t="n">
        <v>46323.72341435185</v>
      </c>
      <c r="C42" s="13" t="n">
        <v>46323.51508101852</v>
      </c>
      <c r="D42" s="13" t="n">
        <v>46323.68174768519</v>
      </c>
      <c r="E42" s="14" t="inlineStr">
        <is>
          <t>BUY</t>
        </is>
      </c>
      <c r="F42" s="6" t="inlineStr">
        <is>
          <t>REGN</t>
        </is>
      </c>
      <c r="G42" s="15" t="inlineStr">
        <is>
          <t>Regeneron Pharmaceuticals, Inc. Common Stock</t>
        </is>
      </c>
      <c r="H42" s="6" t="inlineStr">
        <is>
          <t>NASDAQ</t>
        </is>
      </c>
      <c r="I42" s="6" t="inlineStr">
        <is>
          <t>filled</t>
        </is>
      </c>
      <c r="J42" s="16" t="n">
        <v>0.167361335</v>
      </c>
      <c r="K42" s="17" t="n">
        <v>811.418</v>
      </c>
      <c r="L42" s="17">
        <f>IF(AND(ISNUMBER(J42),ISNUMBER(K42)),J42*K42,"")</f>
        <v/>
      </c>
      <c r="M42" s="17" t="n">
        <v>135.81</v>
      </c>
      <c r="N42" s="16" t="n"/>
      <c r="O42" s="6" t="inlineStr">
        <is>
          <t>4+/5 green</t>
        </is>
      </c>
      <c r="P42" s="15" t="inlineStr">
        <is>
          <t>5 of 5 green, time machine green, rank #4, 8.33% of the $1,630.38 free cash split 12 ways</t>
        </is>
      </c>
      <c r="Q42" s="12" t="n">
        <v>5</v>
      </c>
      <c r="R42" s="6" t="inlineStr">
        <is>
          <t>ok</t>
        </is>
      </c>
      <c r="S42" s="18" t="n">
        <v>0.59</v>
      </c>
      <c r="T42" s="12" t="n">
        <v>39</v>
      </c>
      <c r="U42" s="19" t="n">
        <v>0.0069</v>
      </c>
      <c r="V42" s="19" t="n">
        <v>-0.1395</v>
      </c>
      <c r="W42" s="12" t="n">
        <v>4</v>
      </c>
      <c r="X42" s="6" t="inlineStr">
        <is>
          <t>ok</t>
        </is>
      </c>
      <c r="Y42" s="19" t="n">
        <v>0</v>
      </c>
      <c r="Z42" s="6" t="inlineStr">
        <is>
          <t>ok</t>
        </is>
      </c>
      <c r="AA42" s="12" t="n">
        <v>100</v>
      </c>
      <c r="AB42" s="15" t="n"/>
      <c r="AC42" s="6" t="inlineStr">
        <is>
          <t>ok</t>
        </is>
      </c>
      <c r="AD42" s="6" t="inlineStr">
        <is>
          <t>up</t>
        </is>
      </c>
      <c r="AE42" s="17" t="n">
        <v>823.0616</v>
      </c>
      <c r="AF42" s="17" t="n">
        <v>791.8951</v>
      </c>
      <c r="AG42" s="17" t="n">
        <v>854.228</v>
      </c>
      <c r="AH42" s="20" t="n">
        <v>46330</v>
      </c>
      <c r="AI42" s="18" t="n">
        <v>0.53</v>
      </c>
      <c r="AJ42" s="6" t="inlineStr">
        <is>
          <t>ok</t>
        </is>
      </c>
      <c r="AK42" s="12" t="n">
        <v>4</v>
      </c>
      <c r="AL42" s="15" t="inlineStr">
        <is>
          <t>Evercore ISI Adjusts Price Target on Regeneron Pharmaceuticals to $850 From $900</t>
        </is>
      </c>
      <c r="AM42" s="17" t="n">
        <v>810.595</v>
      </c>
      <c r="AN42" s="19" t="n">
        <v>-0.0066</v>
      </c>
      <c r="AO42" s="17" t="n">
        <v>100130.89</v>
      </c>
      <c r="AP42" s="17" t="n">
        <v>1630.38</v>
      </c>
      <c r="AQ42" s="19" t="n">
        <v>0.0833</v>
      </c>
      <c r="AR42" s="16" t="n"/>
      <c r="AS42" s="17" t="n"/>
      <c r="AT42" s="19" t="n"/>
      <c r="AU42" s="6" t="inlineStr">
        <is>
          <t>paper</t>
        </is>
      </c>
      <c r="AV42" s="6" t="inlineStr">
        <is>
          <t>dda46246-83f4-40ff-853e-79415343124a</t>
        </is>
      </c>
      <c r="AW42" s="6" t="inlineStr">
        <is>
          <t>tdagent-buy-REGN-1793204503400</t>
        </is>
      </c>
      <c r="AX42" s="13" t="n">
        <v>46323.68174768519</v>
      </c>
      <c r="AY42" s="13" t="n">
        <v>46323.68174768519</v>
      </c>
      <c r="AZ42" s="13" t="n">
        <v>46323.68159722222</v>
      </c>
      <c r="BA42" s="6" t="n"/>
    </row>
  </sheetData>
  <pageMargins left="0.75" right="0.75" top="1" bottom="1" header="0.5" footer="0.5"/>
  <pageSetup orientation="portrait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P39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8" customWidth="1" min="2" max="2"/>
    <col width="17" customWidth="1" min="3" max="3"/>
    <col width="17" customWidth="1" min="4" max="4"/>
    <col width="12" customWidth="1" min="5" max="5"/>
    <col width="12" customWidth="1" min="6" max="6"/>
    <col width="12" customWidth="1" min="7" max="7"/>
    <col width="17" customWidth="1" min="8" max="8"/>
    <col width="17" customWidth="1" min="9" max="9"/>
    <col width="12" customWidth="1" min="10" max="10"/>
    <col width="12" customWidth="1" min="11" max="11"/>
    <col width="12" customWidth="1" min="12" max="12"/>
    <col width="10" customWidth="1" min="13" max="13"/>
    <col width="10" customWidth="1" min="14" max="14"/>
    <col width="20" customWidth="1" min="15" max="15"/>
    <col width="9" customWidth="1" min="16" max="16"/>
  </cols>
  <sheetData>
    <row r="1" ht="30" customHeight="1">
      <c r="A1" s="5" t="inlineStr">
        <is>
          <t>Symbol</t>
        </is>
      </c>
      <c r="B1" s="5" t="inlineStr">
        <is>
          <t>Company</t>
        </is>
      </c>
      <c r="C1" s="5" t="inlineStr">
        <is>
          <t>Bought (Berlin)</t>
        </is>
      </c>
      <c r="D1" s="5" t="inlineStr">
        <is>
          <t>Bought (New York)</t>
        </is>
      </c>
      <c r="E1" s="5" t="inlineStr">
        <is>
          <t>Buy price $</t>
        </is>
      </c>
      <c r="F1" s="5" t="inlineStr">
        <is>
          <t>Qty</t>
        </is>
      </c>
      <c r="G1" s="5" t="inlineStr">
        <is>
          <t>Cost $</t>
        </is>
      </c>
      <c r="H1" s="5" t="inlineStr">
        <is>
          <t>Sold (Berlin)</t>
        </is>
      </c>
      <c r="I1" s="5" t="inlineStr">
        <is>
          <t>Sold (New York)</t>
        </is>
      </c>
      <c r="J1" s="5" t="inlineStr">
        <is>
          <t>Sell price $</t>
        </is>
      </c>
      <c r="K1" s="5" t="inlineStr">
        <is>
          <t>Proceeds $</t>
        </is>
      </c>
      <c r="L1" s="5" t="inlineStr">
        <is>
          <t>P/L $</t>
        </is>
      </c>
      <c r="M1" s="5" t="inlineStr">
        <is>
          <t>P/L %</t>
        </is>
      </c>
      <c r="N1" s="5" t="inlineStr">
        <is>
          <t>Days held</t>
        </is>
      </c>
      <c r="O1" s="5" t="inlineStr">
        <is>
          <t>Exit rule</t>
        </is>
      </c>
      <c r="P1" s="5" t="inlineStr">
        <is>
          <t>Status</t>
        </is>
      </c>
    </row>
    <row r="2">
      <c r="A2" s="6" t="inlineStr">
        <is>
          <t>TMO</t>
        </is>
      </c>
      <c r="B2" s="6" t="inlineStr">
        <is>
          <t>Thermo Fisher Scientific, Inc.</t>
        </is>
      </c>
      <c r="C2" s="22" t="n">
        <v>46322.71633101852</v>
      </c>
      <c r="D2" s="22" t="n">
        <v>46322.50799768518</v>
      </c>
      <c r="E2" s="17" t="n">
        <v>694.9299999999999</v>
      </c>
      <c r="F2" s="16" t="n">
        <v>11.986804426</v>
      </c>
      <c r="G2" s="17">
        <f>E2*F2</f>
        <v/>
      </c>
      <c r="H2" s="22" t="n">
        <v>46322.86784722222</v>
      </c>
      <c r="I2" s="22" t="n">
        <v>46322.65951388889</v>
      </c>
      <c r="J2" s="17" t="n">
        <v>699.1666739999999</v>
      </c>
      <c r="K2" s="17">
        <f>IF(ISNUMBER(J2),J2*F2,"")</f>
        <v/>
      </c>
      <c r="L2" s="23">
        <f>IF(ISNUMBER(J2),K2-G2,"")</f>
        <v/>
      </c>
      <c r="M2" s="24">
        <f>IF(ISNUMBER(J2),L2/G2,"")</f>
        <v/>
      </c>
      <c r="N2" s="25">
        <f>IF(ISNUMBER(H2),H2-C2,"")</f>
        <v/>
      </c>
      <c r="O2" s="6" t="inlineStr">
        <is>
          <t>evening under 5%</t>
        </is>
      </c>
      <c r="P2" s="6" t="inlineStr">
        <is>
          <t>Closed</t>
        </is>
      </c>
    </row>
    <row r="3">
      <c r="A3" s="6" t="inlineStr">
        <is>
          <t>SHEL</t>
        </is>
      </c>
      <c r="B3" s="6" t="inlineStr">
        <is>
          <t>Shell plc American Depositary Shares (Each represents two Ordinary shares)</t>
        </is>
      </c>
      <c r="C3" s="22" t="n">
        <v>46322.79560185185</v>
      </c>
      <c r="D3" s="22" t="n">
        <v>46322.58726851852</v>
      </c>
      <c r="E3" s="17" t="n">
        <v>104.93</v>
      </c>
      <c r="F3" s="16" t="n">
        <v>79.41675402600001</v>
      </c>
      <c r="G3" s="17">
        <f>E3*F3</f>
        <v/>
      </c>
      <c r="H3" s="22" t="n">
        <v>46322.8678125</v>
      </c>
      <c r="I3" s="22" t="n">
        <v>46322.65947916666</v>
      </c>
      <c r="J3" s="17" t="n">
        <v>104.96</v>
      </c>
      <c r="K3" s="17">
        <f>IF(ISNUMBER(J3),J3*F3,"")</f>
        <v/>
      </c>
      <c r="L3" s="23">
        <f>IF(ISNUMBER(J3),K3-G3,"")</f>
        <v/>
      </c>
      <c r="M3" s="24">
        <f>IF(ISNUMBER(J3),L3/G3,"")</f>
        <v/>
      </c>
      <c r="N3" s="25">
        <f>IF(ISNUMBER(H3),H3-C3,"")</f>
        <v/>
      </c>
      <c r="O3" s="6" t="inlineStr">
        <is>
          <t>evening under 5%</t>
        </is>
      </c>
      <c r="P3" s="6" t="inlineStr">
        <is>
          <t>Closed</t>
        </is>
      </c>
    </row>
    <row r="4">
      <c r="A4" s="6" t="inlineStr">
        <is>
          <t>SHEL</t>
        </is>
      </c>
      <c r="B4" s="6" t="inlineStr">
        <is>
          <t>Shell plc American Depositary Shares (Each represents two Ordinary shares)</t>
        </is>
      </c>
      <c r="C4" s="22" t="n">
        <v>46323.6061574074</v>
      </c>
      <c r="D4" s="22" t="n">
        <v>46323.39782407408</v>
      </c>
      <c r="E4" s="17" t="n">
        <v>105</v>
      </c>
      <c r="F4" s="16" t="n">
        <v>79.375047619</v>
      </c>
      <c r="G4" s="17">
        <f>E4*F4</f>
        <v/>
      </c>
      <c r="H4" s="22" t="n"/>
      <c r="I4" s="22" t="n"/>
      <c r="J4" s="17" t="n"/>
      <c r="K4" s="17">
        <f>IF(ISNUMBER(J4),J4*F4,"")</f>
        <v/>
      </c>
      <c r="L4" s="23">
        <f>IF(ISNUMBER(J4),K4-G4,"")</f>
        <v/>
      </c>
      <c r="M4" s="24">
        <f>IF(ISNUMBER(J4),L4/G4,"")</f>
        <v/>
      </c>
      <c r="N4" s="25">
        <f>IF(ISNUMBER(H4),H4-C4,"")</f>
        <v/>
      </c>
      <c r="O4" s="6" t="n"/>
      <c r="P4" s="6" t="inlineStr">
        <is>
          <t>Open</t>
        </is>
      </c>
    </row>
    <row r="5">
      <c r="A5" s="6" t="inlineStr">
        <is>
          <t>UTHR</t>
        </is>
      </c>
      <c r="B5" s="6" t="inlineStr">
        <is>
          <t>United Therapeutics Corporation Common Stock</t>
        </is>
      </c>
      <c r="C5" s="22" t="n">
        <v>46323.60626157407</v>
      </c>
      <c r="D5" s="22" t="n">
        <v>46323.39792824074</v>
      </c>
      <c r="E5" s="17" t="n">
        <v>585.96</v>
      </c>
      <c r="F5" s="16" t="n">
        <v>7.111731176</v>
      </c>
      <c r="G5" s="17">
        <f>E5*F5</f>
        <v/>
      </c>
      <c r="H5" s="22" t="n">
        <v>46323.66149305556</v>
      </c>
      <c r="I5" s="22" t="n">
        <v>46323.45315972222</v>
      </c>
      <c r="J5" s="17" t="n">
        <v>588.24</v>
      </c>
      <c r="K5" s="17">
        <f>IF(ISNUMBER(J5),J5*F5,"")</f>
        <v/>
      </c>
      <c r="L5" s="23">
        <f>IF(ISNUMBER(J5),K5-G5,"")</f>
        <v/>
      </c>
      <c r="M5" s="24">
        <f>IF(ISNUMBER(J5),L5/G5,"")</f>
        <v/>
      </c>
      <c r="N5" s="25">
        <f>IF(ISNUMBER(H5),H5-C5,"")</f>
        <v/>
      </c>
      <c r="O5" s="6" t="inlineStr">
        <is>
          <t>3 green: sell half</t>
        </is>
      </c>
      <c r="P5" s="6" t="inlineStr">
        <is>
          <t>Closed</t>
        </is>
      </c>
    </row>
    <row r="6">
      <c r="A6" s="6" t="inlineStr">
        <is>
          <t>UTHR</t>
        </is>
      </c>
      <c r="B6" s="6" t="inlineStr">
        <is>
          <t>United Therapeutics Corporation Common Stock</t>
        </is>
      </c>
      <c r="C6" s="22" t="n">
        <v>46323.60626157407</v>
      </c>
      <c r="D6" s="22" t="n">
        <v>46323.39792824074</v>
      </c>
      <c r="E6" s="17" t="n">
        <v>585.96</v>
      </c>
      <c r="F6" s="16" t="n">
        <v>7.111731176</v>
      </c>
      <c r="G6" s="17">
        <f>E6*F6</f>
        <v/>
      </c>
      <c r="H6" s="22" t="n"/>
      <c r="I6" s="22" t="n"/>
      <c r="J6" s="17" t="n"/>
      <c r="K6" s="17">
        <f>IF(ISNUMBER(J6),J6*F6,"")</f>
        <v/>
      </c>
      <c r="L6" s="23">
        <f>IF(ISNUMBER(J6),K6-G6,"")</f>
        <v/>
      </c>
      <c r="M6" s="24">
        <f>IF(ISNUMBER(J6),L6/G6,"")</f>
        <v/>
      </c>
      <c r="N6" s="25">
        <f>IF(ISNUMBER(H6),H6-C6,"")</f>
        <v/>
      </c>
      <c r="O6" s="6" t="n"/>
      <c r="P6" s="6" t="inlineStr">
        <is>
          <t>Open</t>
        </is>
      </c>
    </row>
    <row r="7">
      <c r="A7" s="6" t="inlineStr">
        <is>
          <t>ILMN</t>
        </is>
      </c>
      <c r="B7" s="6" t="inlineStr">
        <is>
          <t>Illumina, Inc. Common Stock</t>
        </is>
      </c>
      <c r="C7" s="22" t="n">
        <v>46323.60633101852</v>
      </c>
      <c r="D7" s="22" t="n">
        <v>46323.39799768518</v>
      </c>
      <c r="E7" s="17" t="n">
        <v>281</v>
      </c>
      <c r="F7" s="16" t="n">
        <v>29.659715302</v>
      </c>
      <c r="G7" s="17">
        <f>E7*F7</f>
        <v/>
      </c>
      <c r="H7" s="22" t="n"/>
      <c r="I7" s="22" t="n"/>
      <c r="J7" s="17" t="n"/>
      <c r="K7" s="17">
        <f>IF(ISNUMBER(J7),J7*F7,"")</f>
        <v/>
      </c>
      <c r="L7" s="23">
        <f>IF(ISNUMBER(J7),K7-G7,"")</f>
        <v/>
      </c>
      <c r="M7" s="24">
        <f>IF(ISNUMBER(J7),L7/G7,"")</f>
        <v/>
      </c>
      <c r="N7" s="25">
        <f>IF(ISNUMBER(H7),H7-C7,"")</f>
        <v/>
      </c>
      <c r="O7" s="6" t="n"/>
      <c r="P7" s="6" t="inlineStr">
        <is>
          <t>Open</t>
        </is>
      </c>
    </row>
    <row r="8">
      <c r="A8" s="6" t="inlineStr">
        <is>
          <t>EBAY</t>
        </is>
      </c>
      <c r="B8" s="6" t="inlineStr">
        <is>
          <t>eBay Inc. Common Stock</t>
        </is>
      </c>
      <c r="C8" s="22" t="n">
        <v>46323.60640046297</v>
      </c>
      <c r="D8" s="22" t="n">
        <v>46323.39806712963</v>
      </c>
      <c r="E8" s="17" t="n">
        <v>118.837319</v>
      </c>
      <c r="F8" s="16" t="n">
        <v>70.13268309</v>
      </c>
      <c r="G8" s="17">
        <f>E8*F8</f>
        <v/>
      </c>
      <c r="H8" s="22" t="n"/>
      <c r="I8" s="22" t="n"/>
      <c r="J8" s="17" t="n"/>
      <c r="K8" s="17">
        <f>IF(ISNUMBER(J8),J8*F8,"")</f>
        <v/>
      </c>
      <c r="L8" s="23">
        <f>IF(ISNUMBER(J8),K8-G8,"")</f>
        <v/>
      </c>
      <c r="M8" s="24">
        <f>IF(ISNUMBER(J8),L8/G8,"")</f>
        <v/>
      </c>
      <c r="N8" s="25">
        <f>IF(ISNUMBER(H8),H8-C8,"")</f>
        <v/>
      </c>
      <c r="O8" s="6" t="n"/>
      <c r="P8" s="6" t="inlineStr">
        <is>
          <t>Open</t>
        </is>
      </c>
    </row>
    <row r="9">
      <c r="A9" s="6" t="inlineStr">
        <is>
          <t>DT</t>
        </is>
      </c>
      <c r="B9" s="6" t="inlineStr">
        <is>
          <t>Dynatrace, Inc.</t>
        </is>
      </c>
      <c r="C9" s="22" t="n">
        <v>46323.60652777777</v>
      </c>
      <c r="D9" s="22" t="n">
        <v>46323.39819444445</v>
      </c>
      <c r="E9" s="17" t="n">
        <v>63.965309</v>
      </c>
      <c r="F9" s="16" t="n">
        <v>130.2953125</v>
      </c>
      <c r="G9" s="17">
        <f>E9*F9</f>
        <v/>
      </c>
      <c r="H9" s="22" t="n"/>
      <c r="I9" s="22" t="n"/>
      <c r="J9" s="17" t="n"/>
      <c r="K9" s="17">
        <f>IF(ISNUMBER(J9),J9*F9,"")</f>
        <v/>
      </c>
      <c r="L9" s="23">
        <f>IF(ISNUMBER(J9),K9-G9,"")</f>
        <v/>
      </c>
      <c r="M9" s="24">
        <f>IF(ISNUMBER(J9),L9/G9,"")</f>
        <v/>
      </c>
      <c r="N9" s="25">
        <f>IF(ISNUMBER(H9),H9-C9,"")</f>
        <v/>
      </c>
      <c r="O9" s="6" t="n"/>
      <c r="P9" s="6" t="inlineStr">
        <is>
          <t>Open</t>
        </is>
      </c>
    </row>
    <row r="10">
      <c r="A10" s="6" t="inlineStr">
        <is>
          <t>MCK</t>
        </is>
      </c>
      <c r="B10" s="6" t="inlineStr">
        <is>
          <t>McKesson Corporation</t>
        </is>
      </c>
      <c r="C10" s="22" t="n">
        <v>46323.60681712963</v>
      </c>
      <c r="D10" s="22" t="n">
        <v>46323.3984837963</v>
      </c>
      <c r="E10" s="17" t="n">
        <v>966.85025</v>
      </c>
      <c r="F10" s="16" t="n">
        <v>8.620135337000001</v>
      </c>
      <c r="G10" s="17">
        <f>E10*F10</f>
        <v/>
      </c>
      <c r="H10" s="22" t="n"/>
      <c r="I10" s="22" t="n"/>
      <c r="J10" s="17" t="n"/>
      <c r="K10" s="17">
        <f>IF(ISNUMBER(J10),J10*F10,"")</f>
        <v/>
      </c>
      <c r="L10" s="23">
        <f>IF(ISNUMBER(J10),K10-G10,"")</f>
        <v/>
      </c>
      <c r="M10" s="24">
        <f>IF(ISNUMBER(J10),L10/G10,"")</f>
        <v/>
      </c>
      <c r="N10" s="25">
        <f>IF(ISNUMBER(H10),H10-C10,"")</f>
        <v/>
      </c>
      <c r="O10" s="6" t="n"/>
      <c r="P10" s="6" t="inlineStr">
        <is>
          <t>Open</t>
        </is>
      </c>
    </row>
    <row r="11">
      <c r="A11" s="6" t="inlineStr">
        <is>
          <t>TMO</t>
        </is>
      </c>
      <c r="B11" s="6" t="inlineStr">
        <is>
          <t>Thermo Fisher Scientific, Inc.</t>
        </is>
      </c>
      <c r="C11" s="22" t="n">
        <v>46323.60681712963</v>
      </c>
      <c r="D11" s="22" t="n">
        <v>46323.3984837963</v>
      </c>
      <c r="E11" s="17" t="n">
        <v>698.193445</v>
      </c>
      <c r="F11" s="16" t="n">
        <v>11.937064238</v>
      </c>
      <c r="G11" s="17">
        <f>E11*F11</f>
        <v/>
      </c>
      <c r="H11" s="22" t="n"/>
      <c r="I11" s="22" t="n"/>
      <c r="J11" s="17" t="n"/>
      <c r="K11" s="17">
        <f>IF(ISNUMBER(J11),J11*F11,"")</f>
        <v/>
      </c>
      <c r="L11" s="23">
        <f>IF(ISNUMBER(J11),K11-G11,"")</f>
        <v/>
      </c>
      <c r="M11" s="24">
        <f>IF(ISNUMBER(J11),L11/G11,"")</f>
        <v/>
      </c>
      <c r="N11" s="25">
        <f>IF(ISNUMBER(H11),H11-C11,"")</f>
        <v/>
      </c>
      <c r="O11" s="6" t="n"/>
      <c r="P11" s="6" t="inlineStr">
        <is>
          <t>Open</t>
        </is>
      </c>
    </row>
    <row r="12">
      <c r="A12" s="6" t="inlineStr">
        <is>
          <t>CBOE</t>
        </is>
      </c>
      <c r="B12" s="6" t="inlineStr">
        <is>
          <t>Cboe Global Markets, Inc.</t>
        </is>
      </c>
      <c r="C12" s="22" t="n">
        <v>46323.60716435185</v>
      </c>
      <c r="D12" s="22" t="n">
        <v>46323.39883101852</v>
      </c>
      <c r="E12" s="17" t="n">
        <v>322.603871</v>
      </c>
      <c r="F12" s="16" t="n">
        <v>25.834717916</v>
      </c>
      <c r="G12" s="17">
        <f>E12*F12</f>
        <v/>
      </c>
      <c r="H12" s="22" t="n"/>
      <c r="I12" s="22" t="n"/>
      <c r="J12" s="17" t="n"/>
      <c r="K12" s="17">
        <f>IF(ISNUMBER(J12),J12*F12,"")</f>
        <v/>
      </c>
      <c r="L12" s="23">
        <f>IF(ISNUMBER(J12),K12-G12,"")</f>
        <v/>
      </c>
      <c r="M12" s="24">
        <f>IF(ISNUMBER(J12),L12/G12,"")</f>
        <v/>
      </c>
      <c r="N12" s="25">
        <f>IF(ISNUMBER(H12),H12-C12,"")</f>
        <v/>
      </c>
      <c r="O12" s="6" t="n"/>
      <c r="P12" s="6" t="inlineStr">
        <is>
          <t>Open</t>
        </is>
      </c>
    </row>
    <row r="13">
      <c r="A13" s="6" t="inlineStr">
        <is>
          <t>OXY</t>
        </is>
      </c>
      <c r="B13" s="6" t="inlineStr">
        <is>
          <t>Occidental Petroleum Corporation</t>
        </is>
      </c>
      <c r="C13" s="22" t="n">
        <v>46323.60721064815</v>
      </c>
      <c r="D13" s="22" t="n">
        <v>46323.39887731482</v>
      </c>
      <c r="E13" s="17" t="n">
        <v>62.998354</v>
      </c>
      <c r="F13" s="16" t="n">
        <v>132.295201779</v>
      </c>
      <c r="G13" s="17">
        <f>E13*F13</f>
        <v/>
      </c>
      <c r="H13" s="22" t="n"/>
      <c r="I13" s="22" t="n"/>
      <c r="J13" s="17" t="n"/>
      <c r="K13" s="17">
        <f>IF(ISNUMBER(J13),J13*F13,"")</f>
        <v/>
      </c>
      <c r="L13" s="23">
        <f>IF(ISNUMBER(J13),K13-G13,"")</f>
        <v/>
      </c>
      <c r="M13" s="24">
        <f>IF(ISNUMBER(J13),L13/G13,"")</f>
        <v/>
      </c>
      <c r="N13" s="25">
        <f>IF(ISNUMBER(H13),H13-C13,"")</f>
        <v/>
      </c>
      <c r="O13" s="6" t="n"/>
      <c r="P13" s="6" t="inlineStr">
        <is>
          <t>Open</t>
        </is>
      </c>
    </row>
    <row r="14">
      <c r="A14" s="6" t="inlineStr">
        <is>
          <t>IQV</t>
        </is>
      </c>
      <c r="B14" s="6" t="inlineStr">
        <is>
          <t>IQVIA Holdings Inc.</t>
        </is>
      </c>
      <c r="C14" s="22" t="n">
        <v>46323.60728009259</v>
      </c>
      <c r="D14" s="22" t="n">
        <v>46323.39894675926</v>
      </c>
      <c r="E14" s="17" t="n">
        <v>274.520617</v>
      </c>
      <c r="F14" s="16" t="n">
        <v>15.179879934</v>
      </c>
      <c r="G14" s="17">
        <f>E14*F14</f>
        <v/>
      </c>
      <c r="H14" s="22" t="n">
        <v>46323.60892361111</v>
      </c>
      <c r="I14" s="22" t="n">
        <v>46323.40059027778</v>
      </c>
      <c r="J14" s="17" t="n">
        <v>273.44</v>
      </c>
      <c r="K14" s="17">
        <f>IF(ISNUMBER(J14),J14*F14,"")</f>
        <v/>
      </c>
      <c r="L14" s="23">
        <f>IF(ISNUMBER(J14),K14-G14,"")</f>
        <v/>
      </c>
      <c r="M14" s="24">
        <f>IF(ISNUMBER(J14),L14/G14,"")</f>
        <v/>
      </c>
      <c r="N14" s="25">
        <f>IF(ISNUMBER(H14),H14-C14,"")</f>
        <v/>
      </c>
      <c r="O14" s="6" t="inlineStr">
        <is>
          <t>3 green: sell half</t>
        </is>
      </c>
      <c r="P14" s="6" t="inlineStr">
        <is>
          <t>Closed</t>
        </is>
      </c>
    </row>
    <row r="15">
      <c r="A15" s="6" t="inlineStr">
        <is>
          <t>IQV</t>
        </is>
      </c>
      <c r="B15" s="6" t="inlineStr">
        <is>
          <t>IQVIA Holdings Inc.</t>
        </is>
      </c>
      <c r="C15" s="22" t="n">
        <v>46323.60728009259</v>
      </c>
      <c r="D15" s="22" t="n">
        <v>46323.39894675926</v>
      </c>
      <c r="E15" s="17" t="n">
        <v>274.520617</v>
      </c>
      <c r="F15" s="16" t="n">
        <v>15.179879935</v>
      </c>
      <c r="G15" s="17">
        <f>E15*F15</f>
        <v/>
      </c>
      <c r="H15" s="22" t="n"/>
      <c r="I15" s="22" t="n"/>
      <c r="J15" s="17" t="n"/>
      <c r="K15" s="17">
        <f>IF(ISNUMBER(J15),J15*F15,"")</f>
        <v/>
      </c>
      <c r="L15" s="23">
        <f>IF(ISNUMBER(J15),K15-G15,"")</f>
        <v/>
      </c>
      <c r="M15" s="24">
        <f>IF(ISNUMBER(J15),L15/G15,"")</f>
        <v/>
      </c>
      <c r="N15" s="25">
        <f>IF(ISNUMBER(H15),H15-C15,"")</f>
        <v/>
      </c>
      <c r="O15" s="6" t="n"/>
      <c r="P15" s="6" t="inlineStr">
        <is>
          <t>Open</t>
        </is>
      </c>
    </row>
    <row r="16">
      <c r="A16" s="6" t="inlineStr">
        <is>
          <t>MNST</t>
        </is>
      </c>
      <c r="B16" s="6" t="inlineStr">
        <is>
          <t>Monster Beverage Corporation</t>
        </is>
      </c>
      <c r="C16" s="22" t="n">
        <v>46323.60728009259</v>
      </c>
      <c r="D16" s="22" t="n">
        <v>46323.39894675926</v>
      </c>
      <c r="E16" s="17" t="n">
        <v>45.162906</v>
      </c>
      <c r="F16" s="16" t="n">
        <v>184.54038504</v>
      </c>
      <c r="G16" s="17">
        <f>E16*F16</f>
        <v/>
      </c>
      <c r="H16" s="22" t="n"/>
      <c r="I16" s="22" t="n"/>
      <c r="J16" s="17" t="n"/>
      <c r="K16" s="17">
        <f>IF(ISNUMBER(J16),J16*F16,"")</f>
        <v/>
      </c>
      <c r="L16" s="23">
        <f>IF(ISNUMBER(J16),K16-G16,"")</f>
        <v/>
      </c>
      <c r="M16" s="24">
        <f>IF(ISNUMBER(J16),L16/G16,"")</f>
        <v/>
      </c>
      <c r="N16" s="25">
        <f>IF(ISNUMBER(H16),H16-C16,"")</f>
        <v/>
      </c>
      <c r="O16" s="6" t="n"/>
      <c r="P16" s="6" t="inlineStr">
        <is>
          <t>Open</t>
        </is>
      </c>
    </row>
    <row r="17">
      <c r="A17" s="6" t="inlineStr">
        <is>
          <t>PBR.A</t>
        </is>
      </c>
      <c r="B17" s="6" t="inlineStr">
        <is>
          <t>Petroleo Brasileiro S.A.-Petrobras</t>
        </is>
      </c>
      <c r="C17" s="22" t="n">
        <v>46323.60732638889</v>
      </c>
      <c r="D17" s="22" t="n">
        <v>46323.39899305555</v>
      </c>
      <c r="E17" s="17" t="n">
        <v>19.69562</v>
      </c>
      <c r="F17" s="16" t="n">
        <v>211.579533941</v>
      </c>
      <c r="G17" s="17">
        <f>E17*F17</f>
        <v/>
      </c>
      <c r="H17" s="22" t="n">
        <v>46323.60894675926</v>
      </c>
      <c r="I17" s="22" t="n">
        <v>46323.40061342593</v>
      </c>
      <c r="J17" s="17" t="n">
        <v>19.755625</v>
      </c>
      <c r="K17" s="17">
        <f>IF(ISNUMBER(J17),J17*F17,"")</f>
        <v/>
      </c>
      <c r="L17" s="23">
        <f>IF(ISNUMBER(J17),K17-G17,"")</f>
        <v/>
      </c>
      <c r="M17" s="24">
        <f>IF(ISNUMBER(J17),L17/G17,"")</f>
        <v/>
      </c>
      <c r="N17" s="25">
        <f>IF(ISNUMBER(H17),H17-C17,"")</f>
        <v/>
      </c>
      <c r="O17" s="6" t="inlineStr">
        <is>
          <t>3 green: sell half</t>
        </is>
      </c>
      <c r="P17" s="6" t="inlineStr">
        <is>
          <t>Closed</t>
        </is>
      </c>
    </row>
    <row r="18">
      <c r="A18" s="6" t="inlineStr">
        <is>
          <t>PBR.A</t>
        </is>
      </c>
      <c r="B18" s="6" t="inlineStr">
        <is>
          <t>Petroleo Brasileiro S.A.-Petrobras</t>
        </is>
      </c>
      <c r="C18" s="22" t="n">
        <v>46323.60732638889</v>
      </c>
      <c r="D18" s="22" t="n">
        <v>46323.39899305555</v>
      </c>
      <c r="E18" s="17" t="n">
        <v>19.69562</v>
      </c>
      <c r="F18" s="16" t="n">
        <v>211.579533941</v>
      </c>
      <c r="G18" s="17">
        <f>E18*F18</f>
        <v/>
      </c>
      <c r="H18" s="22" t="n"/>
      <c r="I18" s="22" t="n"/>
      <c r="J18" s="17" t="n"/>
      <c r="K18" s="17">
        <f>IF(ISNUMBER(J18),J18*F18,"")</f>
        <v/>
      </c>
      <c r="L18" s="23">
        <f>IF(ISNUMBER(J18),K18-G18,"")</f>
        <v/>
      </c>
      <c r="M18" s="24">
        <f>IF(ISNUMBER(J18),L18/G18,"")</f>
        <v/>
      </c>
      <c r="N18" s="25">
        <f>IF(ISNUMBER(H18),H18-C18,"")</f>
        <v/>
      </c>
      <c r="O18" s="6" t="n"/>
      <c r="P18" s="6" t="inlineStr">
        <is>
          <t>Open</t>
        </is>
      </c>
    </row>
    <row r="19">
      <c r="A19" s="6" t="inlineStr">
        <is>
          <t>LNG</t>
        </is>
      </c>
      <c r="B19" s="6" t="inlineStr">
        <is>
          <t>Cheniere Energy Inc</t>
        </is>
      </c>
      <c r="C19" s="22" t="n">
        <v>46323.67184027778</v>
      </c>
      <c r="D19" s="22" t="n">
        <v>46323.46350694444</v>
      </c>
      <c r="E19" s="17" t="n">
        <v>299.7</v>
      </c>
      <c r="F19" s="16" t="n">
        <v>3.489356022</v>
      </c>
      <c r="G19" s="17">
        <f>E19*F19</f>
        <v/>
      </c>
      <c r="H19" s="22" t="n"/>
      <c r="I19" s="22" t="n"/>
      <c r="J19" s="17" t="n"/>
      <c r="K19" s="17">
        <f>IF(ISNUMBER(J19),J19*F19,"")</f>
        <v/>
      </c>
      <c r="L19" s="23">
        <f>IF(ISNUMBER(J19),K19-G19,"")</f>
        <v/>
      </c>
      <c r="M19" s="24">
        <f>IF(ISNUMBER(J19),L19/G19,"")</f>
        <v/>
      </c>
      <c r="N19" s="25">
        <f>IF(ISNUMBER(H19),H19-C19,"")</f>
        <v/>
      </c>
      <c r="O19" s="6" t="n"/>
      <c r="P19" s="6" t="inlineStr">
        <is>
          <t>Open</t>
        </is>
      </c>
    </row>
    <row r="20">
      <c r="A20" s="6" t="inlineStr">
        <is>
          <t>ADI</t>
        </is>
      </c>
      <c r="B20" s="6" t="inlineStr">
        <is>
          <t>Analog Devices, Inc. Common Stock</t>
        </is>
      </c>
      <c r="C20" s="22" t="n">
        <v>46323.67184027778</v>
      </c>
      <c r="D20" s="22" t="n">
        <v>46323.46350694444</v>
      </c>
      <c r="E20" s="17" t="n">
        <v>425</v>
      </c>
      <c r="F20" s="16" t="n">
        <v>2.460611764</v>
      </c>
      <c r="G20" s="17">
        <f>E20*F20</f>
        <v/>
      </c>
      <c r="H20" s="22" t="n"/>
      <c r="I20" s="22" t="n"/>
      <c r="J20" s="17" t="n"/>
      <c r="K20" s="17">
        <f>IF(ISNUMBER(J20),J20*F20,"")</f>
        <v/>
      </c>
      <c r="L20" s="23">
        <f>IF(ISNUMBER(J20),K20-G20,"")</f>
        <v/>
      </c>
      <c r="M20" s="24">
        <f>IF(ISNUMBER(J20),L20/G20,"")</f>
        <v/>
      </c>
      <c r="N20" s="25">
        <f>IF(ISNUMBER(H20),H20-C20,"")</f>
        <v/>
      </c>
      <c r="O20" s="6" t="n"/>
      <c r="P20" s="6" t="inlineStr">
        <is>
          <t>Open</t>
        </is>
      </c>
    </row>
    <row r="21">
      <c r="A21" s="6" t="inlineStr">
        <is>
          <t>NTRA</t>
        </is>
      </c>
      <c r="B21" s="6" t="inlineStr">
        <is>
          <t>Natera, Inc. Common Stock</t>
        </is>
      </c>
      <c r="C21" s="22" t="n">
        <v>46323.67185185185</v>
      </c>
      <c r="D21" s="22" t="n">
        <v>46323.46351851852</v>
      </c>
      <c r="E21" s="17" t="n">
        <v>429.56</v>
      </c>
      <c r="F21" s="16" t="n">
        <v>2.434491107</v>
      </c>
      <c r="G21" s="17">
        <f>E21*F21</f>
        <v/>
      </c>
      <c r="H21" s="22" t="n"/>
      <c r="I21" s="22" t="n"/>
      <c r="J21" s="17" t="n"/>
      <c r="K21" s="17">
        <f>IF(ISNUMBER(J21),J21*F21,"")</f>
        <v/>
      </c>
      <c r="L21" s="23">
        <f>IF(ISNUMBER(J21),K21-G21,"")</f>
        <v/>
      </c>
      <c r="M21" s="24">
        <f>IF(ISNUMBER(J21),L21/G21,"")</f>
        <v/>
      </c>
      <c r="N21" s="25">
        <f>IF(ISNUMBER(H21),H21-C21,"")</f>
        <v/>
      </c>
      <c r="O21" s="6" t="n"/>
      <c r="P21" s="6" t="inlineStr">
        <is>
          <t>Open</t>
        </is>
      </c>
    </row>
    <row r="22">
      <c r="A22" s="6" t="inlineStr">
        <is>
          <t>MO</t>
        </is>
      </c>
      <c r="B22" s="6" t="inlineStr">
        <is>
          <t>Altria Group, Inc.</t>
        </is>
      </c>
      <c r="C22" s="22" t="n">
        <v>46323.67185185185</v>
      </c>
      <c r="D22" s="22" t="n">
        <v>46323.46351851852</v>
      </c>
      <c r="E22" s="17" t="n">
        <v>73.56999999999999</v>
      </c>
      <c r="F22" s="16" t="n">
        <v>14.214489601</v>
      </c>
      <c r="G22" s="17">
        <f>E22*F22</f>
        <v/>
      </c>
      <c r="H22" s="22" t="n"/>
      <c r="I22" s="22" t="n"/>
      <c r="J22" s="17" t="n"/>
      <c r="K22" s="17">
        <f>IF(ISNUMBER(J22),J22*F22,"")</f>
        <v/>
      </c>
      <c r="L22" s="23">
        <f>IF(ISNUMBER(J22),K22-G22,"")</f>
        <v/>
      </c>
      <c r="M22" s="24">
        <f>IF(ISNUMBER(J22),L22/G22,"")</f>
        <v/>
      </c>
      <c r="N22" s="25">
        <f>IF(ISNUMBER(H22),H22-C22,"")</f>
        <v/>
      </c>
      <c r="O22" s="6" t="n"/>
      <c r="P22" s="6" t="inlineStr">
        <is>
          <t>Open</t>
        </is>
      </c>
    </row>
    <row r="23">
      <c r="A23" s="6" t="inlineStr">
        <is>
          <t>WTW</t>
        </is>
      </c>
      <c r="B23" s="6" t="inlineStr">
        <is>
          <t>Willis Towers Watson Public Limited Company Ordinary Shares</t>
        </is>
      </c>
      <c r="C23" s="22" t="n">
        <v>46323.67186342592</v>
      </c>
      <c r="D23" s="22" t="n">
        <v>46323.46353009259</v>
      </c>
      <c r="E23" s="17" t="n">
        <v>320.43</v>
      </c>
      <c r="F23" s="16" t="n">
        <v>3.263614517</v>
      </c>
      <c r="G23" s="17">
        <f>E23*F23</f>
        <v/>
      </c>
      <c r="H23" s="22" t="n"/>
      <c r="I23" s="22" t="n"/>
      <c r="J23" s="17" t="n"/>
      <c r="K23" s="17">
        <f>IF(ISNUMBER(J23),J23*F23,"")</f>
        <v/>
      </c>
      <c r="L23" s="23">
        <f>IF(ISNUMBER(J23),K23-G23,"")</f>
        <v/>
      </c>
      <c r="M23" s="24">
        <f>IF(ISNUMBER(J23),L23/G23,"")</f>
        <v/>
      </c>
      <c r="N23" s="25">
        <f>IF(ISNUMBER(H23),H23-C23,"")</f>
        <v/>
      </c>
      <c r="O23" s="6" t="n"/>
      <c r="P23" s="6" t="inlineStr">
        <is>
          <t>Open</t>
        </is>
      </c>
    </row>
    <row r="24">
      <c r="A24" s="6" t="inlineStr">
        <is>
          <t>KR</t>
        </is>
      </c>
      <c r="B24" s="6" t="inlineStr">
        <is>
          <t>The Kroger Co.</t>
        </is>
      </c>
      <c r="C24" s="22" t="n">
        <v>46323.67186342592</v>
      </c>
      <c r="D24" s="22" t="n">
        <v>46323.46353009259</v>
      </c>
      <c r="E24" s="17" t="n">
        <v>65.56999999999999</v>
      </c>
      <c r="F24" s="16" t="n">
        <v>15.948757053</v>
      </c>
      <c r="G24" s="17">
        <f>E24*F24</f>
        <v/>
      </c>
      <c r="H24" s="22" t="n"/>
      <c r="I24" s="22" t="n"/>
      <c r="J24" s="17" t="n"/>
      <c r="K24" s="17">
        <f>IF(ISNUMBER(J24),J24*F24,"")</f>
        <v/>
      </c>
      <c r="L24" s="23">
        <f>IF(ISNUMBER(J24),K24-G24,"")</f>
        <v/>
      </c>
      <c r="M24" s="24">
        <f>IF(ISNUMBER(J24),L24/G24,"")</f>
        <v/>
      </c>
      <c r="N24" s="25">
        <f>IF(ISNUMBER(H24),H24-C24,"")</f>
        <v/>
      </c>
      <c r="O24" s="6" t="n"/>
      <c r="P24" s="6" t="inlineStr">
        <is>
          <t>Open</t>
        </is>
      </c>
    </row>
    <row r="25">
      <c r="A25" s="6" t="inlineStr">
        <is>
          <t>ABBV</t>
        </is>
      </c>
      <c r="B25" s="6" t="inlineStr">
        <is>
          <t>ABBVIE INC.</t>
        </is>
      </c>
      <c r="C25" s="22" t="n">
        <v>46323.67186342592</v>
      </c>
      <c r="D25" s="22" t="n">
        <v>46323.46353009259</v>
      </c>
      <c r="E25" s="17" t="n">
        <v>288.04</v>
      </c>
      <c r="F25" s="16" t="n">
        <v>3.63060686</v>
      </c>
      <c r="G25" s="17">
        <f>E25*F25</f>
        <v/>
      </c>
      <c r="H25" s="22" t="n"/>
      <c r="I25" s="22" t="n"/>
      <c r="J25" s="17" t="n"/>
      <c r="K25" s="17">
        <f>IF(ISNUMBER(J25),J25*F25,"")</f>
        <v/>
      </c>
      <c r="L25" s="23">
        <f>IF(ISNUMBER(J25),K25-G25,"")</f>
        <v/>
      </c>
      <c r="M25" s="24">
        <f>IF(ISNUMBER(J25),L25/G25,"")</f>
        <v/>
      </c>
      <c r="N25" s="25">
        <f>IF(ISNUMBER(H25),H25-C25,"")</f>
        <v/>
      </c>
      <c r="O25" s="6" t="n"/>
      <c r="P25" s="6" t="inlineStr">
        <is>
          <t>Open</t>
        </is>
      </c>
    </row>
    <row r="26">
      <c r="A26" s="6" t="inlineStr">
        <is>
          <t>MA</t>
        </is>
      </c>
      <c r="B26" s="6" t="inlineStr">
        <is>
          <t>Mastercard Incorporated</t>
        </is>
      </c>
      <c r="C26" s="22" t="n">
        <v>46323.671875</v>
      </c>
      <c r="D26" s="22" t="n">
        <v>46323.46354166666</v>
      </c>
      <c r="E26" s="17" t="n">
        <v>613.688</v>
      </c>
      <c r="F26" s="16" t="n">
        <v>0.852029044</v>
      </c>
      <c r="G26" s="17">
        <f>E26*F26</f>
        <v/>
      </c>
      <c r="H26" s="22" t="n">
        <v>46323.67767361111</v>
      </c>
      <c r="I26" s="22" t="n">
        <v>46323.46934027778</v>
      </c>
      <c r="J26" s="17" t="n">
        <v>614.554</v>
      </c>
      <c r="K26" s="17">
        <f>IF(ISNUMBER(J26),J26*F26,"")</f>
        <v/>
      </c>
      <c r="L26" s="23">
        <f>IF(ISNUMBER(J26),K26-G26,"")</f>
        <v/>
      </c>
      <c r="M26" s="24">
        <f>IF(ISNUMBER(J26),L26/G26,"")</f>
        <v/>
      </c>
      <c r="N26" s="25">
        <f>IF(ISNUMBER(H26),H26-C26,"")</f>
        <v/>
      </c>
      <c r="O26" s="6" t="inlineStr">
        <is>
          <t>3 green: sell half</t>
        </is>
      </c>
      <c r="P26" s="6" t="inlineStr">
        <is>
          <t>Closed</t>
        </is>
      </c>
    </row>
    <row r="27">
      <c r="A27" s="6" t="inlineStr">
        <is>
          <t>MA</t>
        </is>
      </c>
      <c r="B27" s="6" t="inlineStr">
        <is>
          <t>Mastercard Incorporated</t>
        </is>
      </c>
      <c r="C27" s="22" t="n">
        <v>46323.671875</v>
      </c>
      <c r="D27" s="22" t="n">
        <v>46323.46354166666</v>
      </c>
      <c r="E27" s="17" t="n">
        <v>613.688</v>
      </c>
      <c r="F27" s="16" t="n">
        <v>0.852029044</v>
      </c>
      <c r="G27" s="17">
        <f>E27*F27</f>
        <v/>
      </c>
      <c r="H27" s="22" t="n"/>
      <c r="I27" s="22" t="n"/>
      <c r="J27" s="17" t="n"/>
      <c r="K27" s="17">
        <f>IF(ISNUMBER(J27),J27*F27,"")</f>
        <v/>
      </c>
      <c r="L27" s="23">
        <f>IF(ISNUMBER(J27),K27-G27,"")</f>
        <v/>
      </c>
      <c r="M27" s="24">
        <f>IF(ISNUMBER(J27),L27/G27,"")</f>
        <v/>
      </c>
      <c r="N27" s="25">
        <f>IF(ISNUMBER(H27),H27-C27,"")</f>
        <v/>
      </c>
      <c r="O27" s="6" t="n"/>
      <c r="P27" s="6" t="inlineStr">
        <is>
          <t>Open</t>
        </is>
      </c>
    </row>
    <row r="28">
      <c r="A28" s="6" t="inlineStr">
        <is>
          <t>ADP</t>
        </is>
      </c>
      <c r="B28" s="6" t="inlineStr">
        <is>
          <t>Automatic Data Processing, Inc. Common Stock</t>
        </is>
      </c>
      <c r="C28" s="22" t="n">
        <v>46323.671875</v>
      </c>
      <c r="D28" s="22" t="n">
        <v>46323.46354166666</v>
      </c>
      <c r="E28" s="17" t="n">
        <v>284.46</v>
      </c>
      <c r="F28" s="16" t="n">
        <v>3.676298952</v>
      </c>
      <c r="G28" s="17">
        <f>E28*F28</f>
        <v/>
      </c>
      <c r="H28" s="22" t="n">
        <v>46323.67340277778</v>
      </c>
      <c r="I28" s="22" t="n">
        <v>46323.46506944444</v>
      </c>
      <c r="J28" s="17" t="n">
        <v>283.51</v>
      </c>
      <c r="K28" s="17">
        <f>IF(ISNUMBER(J28),J28*F28,"")</f>
        <v/>
      </c>
      <c r="L28" s="23">
        <f>IF(ISNUMBER(J28),K28-G28,"")</f>
        <v/>
      </c>
      <c r="M28" s="24">
        <f>IF(ISNUMBER(J28),L28/G28,"")</f>
        <v/>
      </c>
      <c r="N28" s="25">
        <f>IF(ISNUMBER(H28),H28-C28,"")</f>
        <v/>
      </c>
      <c r="O28" s="6" t="inlineStr">
        <is>
          <t>bad day</t>
        </is>
      </c>
      <c r="P28" s="6" t="inlineStr">
        <is>
          <t>Closed</t>
        </is>
      </c>
    </row>
    <row r="29">
      <c r="A29" s="6" t="inlineStr">
        <is>
          <t>CNC</t>
        </is>
      </c>
      <c r="B29" s="6" t="inlineStr">
        <is>
          <t>Centene Corporation</t>
        </is>
      </c>
      <c r="C29" s="22" t="n">
        <v>46323.671875</v>
      </c>
      <c r="D29" s="22" t="n">
        <v>46323.46354166666</v>
      </c>
      <c r="E29" s="17" t="n">
        <v>68.89</v>
      </c>
      <c r="F29" s="16" t="n">
        <v>7.590071127</v>
      </c>
      <c r="G29" s="17">
        <f>E29*F29</f>
        <v/>
      </c>
      <c r="H29" s="22" t="n">
        <v>46323.689375</v>
      </c>
      <c r="I29" s="22" t="n">
        <v>46323.48104166667</v>
      </c>
      <c r="J29" s="17" t="n">
        <v>69.01000000000001</v>
      </c>
      <c r="K29" s="17">
        <f>IF(ISNUMBER(J29),J29*F29,"")</f>
        <v/>
      </c>
      <c r="L29" s="23">
        <f>IF(ISNUMBER(J29),K29-G29,"")</f>
        <v/>
      </c>
      <c r="M29" s="24">
        <f>IF(ISNUMBER(J29),L29/G29,"")</f>
        <v/>
      </c>
      <c r="N29" s="25">
        <f>IF(ISNUMBER(H29),H29-C29,"")</f>
        <v/>
      </c>
      <c r="O29" s="6" t="inlineStr">
        <is>
          <t>3 green: sell half</t>
        </is>
      </c>
      <c r="P29" s="6" t="inlineStr">
        <is>
          <t>Closed</t>
        </is>
      </c>
    </row>
    <row r="30">
      <c r="A30" s="6" t="inlineStr">
        <is>
          <t>CNC</t>
        </is>
      </c>
      <c r="B30" s="6" t="inlineStr">
        <is>
          <t>Centene Corporation</t>
        </is>
      </c>
      <c r="C30" s="22" t="n">
        <v>46323.671875</v>
      </c>
      <c r="D30" s="22" t="n">
        <v>46323.46354166666</v>
      </c>
      <c r="E30" s="17" t="n">
        <v>68.89</v>
      </c>
      <c r="F30" s="16" t="n">
        <v>7.590071128</v>
      </c>
      <c r="G30" s="17">
        <f>E30*F30</f>
        <v/>
      </c>
      <c r="H30" s="22" t="n"/>
      <c r="I30" s="22" t="n"/>
      <c r="J30" s="17" t="n"/>
      <c r="K30" s="17">
        <f>IF(ISNUMBER(J30),J30*F30,"")</f>
        <v/>
      </c>
      <c r="L30" s="23">
        <f>IF(ISNUMBER(J30),K30-G30,"")</f>
        <v/>
      </c>
      <c r="M30" s="24">
        <f>IF(ISNUMBER(J30),L30/G30,"")</f>
        <v/>
      </c>
      <c r="N30" s="25">
        <f>IF(ISNUMBER(H30),H30-C30,"")</f>
        <v/>
      </c>
      <c r="O30" s="6" t="n"/>
      <c r="P30" s="6" t="inlineStr">
        <is>
          <t>Open</t>
        </is>
      </c>
    </row>
    <row r="31">
      <c r="A31" s="6" t="inlineStr">
        <is>
          <t>CTSH</t>
        </is>
      </c>
      <c r="B31" s="6" t="inlineStr">
        <is>
          <t>Cognizant Technology Solutions Corporation Class A Common Stock</t>
        </is>
      </c>
      <c r="C31" s="22" t="n">
        <v>46323.67188657408</v>
      </c>
      <c r="D31" s="22" t="n">
        <v>46323.46355324074</v>
      </c>
      <c r="E31" s="17" t="n">
        <v>66.55</v>
      </c>
      <c r="F31" s="16" t="n">
        <v>15.713899323</v>
      </c>
      <c r="G31" s="17">
        <f>E31*F31</f>
        <v/>
      </c>
      <c r="H31" s="22" t="n"/>
      <c r="I31" s="22" t="n"/>
      <c r="J31" s="17" t="n"/>
      <c r="K31" s="17">
        <f>IF(ISNUMBER(J31),J31*F31,"")</f>
        <v/>
      </c>
      <c r="L31" s="23">
        <f>IF(ISNUMBER(J31),K31-G31,"")</f>
        <v/>
      </c>
      <c r="M31" s="24">
        <f>IF(ISNUMBER(J31),L31/G31,"")</f>
        <v/>
      </c>
      <c r="N31" s="25">
        <f>IF(ISNUMBER(H31),H31-C31,"")</f>
        <v/>
      </c>
      <c r="O31" s="6" t="n"/>
      <c r="P31" s="6" t="inlineStr">
        <is>
          <t>Open</t>
        </is>
      </c>
    </row>
    <row r="32">
      <c r="A32" s="6" t="inlineStr">
        <is>
          <t>EQNR</t>
        </is>
      </c>
      <c r="B32" s="6" t="inlineStr">
        <is>
          <t>Equinor ASA American Depositary Shares (Each Representing One Ordinary Share, nominal value NOK 2.50 per share)</t>
        </is>
      </c>
      <c r="C32" s="22" t="n">
        <v>46323.67188657408</v>
      </c>
      <c r="D32" s="22" t="n">
        <v>46323.46355324074</v>
      </c>
      <c r="E32" s="17" t="n">
        <v>47.68</v>
      </c>
      <c r="F32" s="16" t="n">
        <v>21.932885906</v>
      </c>
      <c r="G32" s="17">
        <f>E32*F32</f>
        <v/>
      </c>
      <c r="H32" s="22" t="n"/>
      <c r="I32" s="22" t="n"/>
      <c r="J32" s="17" t="n"/>
      <c r="K32" s="17">
        <f>IF(ISNUMBER(J32),J32*F32,"")</f>
        <v/>
      </c>
      <c r="L32" s="23">
        <f>IF(ISNUMBER(J32),K32-G32,"")</f>
        <v/>
      </c>
      <c r="M32" s="24">
        <f>IF(ISNUMBER(J32),L32/G32,"")</f>
        <v/>
      </c>
      <c r="N32" s="25">
        <f>IF(ISNUMBER(H32),H32-C32,"")</f>
        <v/>
      </c>
      <c r="O32" s="6" t="n"/>
      <c r="P32" s="6" t="inlineStr">
        <is>
          <t>Open</t>
        </is>
      </c>
    </row>
    <row r="33">
      <c r="A33" s="6" t="inlineStr">
        <is>
          <t>MPC</t>
        </is>
      </c>
      <c r="B33" s="6" t="inlineStr">
        <is>
          <t>MARATHON PETROLEUM CORPORATION</t>
        </is>
      </c>
      <c r="C33" s="22" t="n">
        <v>46323.67767361111</v>
      </c>
      <c r="D33" s="22" t="n">
        <v>46323.46934027778</v>
      </c>
      <c r="E33" s="17" t="n">
        <v>437.364</v>
      </c>
      <c r="F33" s="16" t="n">
        <v>0.19946772</v>
      </c>
      <c r="G33" s="17">
        <f>E33*F33</f>
        <v/>
      </c>
      <c r="H33" s="22" t="n"/>
      <c r="I33" s="22" t="n"/>
      <c r="J33" s="17" t="n"/>
      <c r="K33" s="17">
        <f>IF(ISNUMBER(J33),J33*F33,"")</f>
        <v/>
      </c>
      <c r="L33" s="23">
        <f>IF(ISNUMBER(J33),K33-G33,"")</f>
        <v/>
      </c>
      <c r="M33" s="24">
        <f>IF(ISNUMBER(J33),L33/G33,"")</f>
        <v/>
      </c>
      <c r="N33" s="25">
        <f>IF(ISNUMBER(H33),H33-C33,"")</f>
        <v/>
      </c>
      <c r="O33" s="6" t="n"/>
      <c r="P33" s="6" t="inlineStr">
        <is>
          <t>Open</t>
        </is>
      </c>
    </row>
    <row r="34">
      <c r="A34" s="6" t="inlineStr">
        <is>
          <t>EQT</t>
        </is>
      </c>
      <c r="B34" s="6" t="inlineStr">
        <is>
          <t>EQT CORP</t>
        </is>
      </c>
      <c r="C34" s="22" t="n">
        <v>46323.67768518518</v>
      </c>
      <c r="D34" s="22" t="n">
        <v>46323.46935185185</v>
      </c>
      <c r="E34" s="17" t="n">
        <v>55.842</v>
      </c>
      <c r="F34" s="16" t="n">
        <v>1.562264961</v>
      </c>
      <c r="G34" s="17">
        <f>E34*F34</f>
        <v/>
      </c>
      <c r="H34" s="22" t="n"/>
      <c r="I34" s="22" t="n"/>
      <c r="J34" s="17" t="n"/>
      <c r="K34" s="17">
        <f>IF(ISNUMBER(J34),J34*F34,"")</f>
        <v/>
      </c>
      <c r="L34" s="23">
        <f>IF(ISNUMBER(J34),K34-G34,"")</f>
        <v/>
      </c>
      <c r="M34" s="24">
        <f>IF(ISNUMBER(J34),L34/G34,"")</f>
        <v/>
      </c>
      <c r="N34" s="25">
        <f>IF(ISNUMBER(H34),H34-C34,"")</f>
        <v/>
      </c>
      <c r="O34" s="6" t="n"/>
      <c r="P34" s="6" t="inlineStr">
        <is>
          <t>Open</t>
        </is>
      </c>
    </row>
    <row r="35">
      <c r="A35" s="6" t="inlineStr">
        <is>
          <t>PSX</t>
        </is>
      </c>
      <c r="B35" s="6" t="inlineStr">
        <is>
          <t>PHILLIPS 66</t>
        </is>
      </c>
      <c r="C35" s="22" t="n">
        <v>46323.67768518518</v>
      </c>
      <c r="D35" s="22" t="n">
        <v>46323.46935185185</v>
      </c>
      <c r="E35" s="17" t="n">
        <v>269.96</v>
      </c>
      <c r="F35" s="16" t="n">
        <v>0.323158986</v>
      </c>
      <c r="G35" s="17">
        <f>E35*F35</f>
        <v/>
      </c>
      <c r="H35" s="22" t="n"/>
      <c r="I35" s="22" t="n"/>
      <c r="J35" s="17" t="n"/>
      <c r="K35" s="17">
        <f>IF(ISNUMBER(J35),J35*F35,"")</f>
        <v/>
      </c>
      <c r="L35" s="23">
        <f>IF(ISNUMBER(J35),K35-G35,"")</f>
        <v/>
      </c>
      <c r="M35" s="24">
        <f>IF(ISNUMBER(J35),L35/G35,"")</f>
        <v/>
      </c>
      <c r="N35" s="25">
        <f>IF(ISNUMBER(H35),H35-C35,"")</f>
        <v/>
      </c>
      <c r="O35" s="6" t="n"/>
      <c r="P35" s="6" t="inlineStr">
        <is>
          <t>Open</t>
        </is>
      </c>
    </row>
    <row r="36">
      <c r="A36" s="6" t="inlineStr">
        <is>
          <t>DINO</t>
        </is>
      </c>
      <c r="B36" s="6" t="inlineStr">
        <is>
          <t>HF Sinclair Corporation</t>
        </is>
      </c>
      <c r="C36" s="22" t="n">
        <v>46323.68936342592</v>
      </c>
      <c r="D36" s="22" t="n">
        <v>46323.48103009259</v>
      </c>
      <c r="E36" s="17" t="n">
        <v>111.978</v>
      </c>
      <c r="F36" s="16" t="n">
        <v>0.486970654</v>
      </c>
      <c r="G36" s="17">
        <f>E36*F36</f>
        <v/>
      </c>
      <c r="H36" s="22" t="n">
        <v>46323.69346064814</v>
      </c>
      <c r="I36" s="22" t="n">
        <v>46323.48512731482</v>
      </c>
      <c r="J36" s="17" t="n">
        <v>111.736</v>
      </c>
      <c r="K36" s="17">
        <f>IF(ISNUMBER(J36),J36*F36,"")</f>
        <v/>
      </c>
      <c r="L36" s="23">
        <f>IF(ISNUMBER(J36),K36-G36,"")</f>
        <v/>
      </c>
      <c r="M36" s="24">
        <f>IF(ISNUMBER(J36),L36/G36,"")</f>
        <v/>
      </c>
      <c r="N36" s="25">
        <f>IF(ISNUMBER(H36),H36-C36,"")</f>
        <v/>
      </c>
      <c r="O36" s="6" t="inlineStr">
        <is>
          <t>3 green: sell half</t>
        </is>
      </c>
      <c r="P36" s="6" t="inlineStr">
        <is>
          <t>Closed</t>
        </is>
      </c>
    </row>
    <row r="37">
      <c r="A37" s="6" t="inlineStr">
        <is>
          <t>DINO</t>
        </is>
      </c>
      <c r="B37" s="6" t="inlineStr">
        <is>
          <t>HF Sinclair Corporation</t>
        </is>
      </c>
      <c r="C37" s="22" t="n">
        <v>46323.68936342592</v>
      </c>
      <c r="D37" s="22" t="n">
        <v>46323.48103009259</v>
      </c>
      <c r="E37" s="17" t="n">
        <v>111.978</v>
      </c>
      <c r="F37" s="16" t="n">
        <v>0.486970655</v>
      </c>
      <c r="G37" s="17">
        <f>E37*F37</f>
        <v/>
      </c>
      <c r="H37" s="22" t="n"/>
      <c r="I37" s="22" t="n"/>
      <c r="J37" s="17" t="n"/>
      <c r="K37" s="17">
        <f>IF(ISNUMBER(J37),J37*F37,"")</f>
        <v/>
      </c>
      <c r="L37" s="23">
        <f>IF(ISNUMBER(J37),K37-G37,"")</f>
        <v/>
      </c>
      <c r="M37" s="24">
        <f>IF(ISNUMBER(J37),L37/G37,"")</f>
        <v/>
      </c>
      <c r="N37" s="25">
        <f>IF(ISNUMBER(H37),H37-C37,"")</f>
        <v/>
      </c>
      <c r="O37" s="6" t="n"/>
      <c r="P37" s="6" t="inlineStr">
        <is>
          <t>Open</t>
        </is>
      </c>
    </row>
    <row r="38">
      <c r="A38" s="6" t="inlineStr">
        <is>
          <t>LLY</t>
        </is>
      </c>
      <c r="B38" s="6" t="inlineStr">
        <is>
          <t>Eli Lilly &amp; Co.</t>
        </is>
      </c>
      <c r="C38" s="22" t="n">
        <v>46323.70951388889</v>
      </c>
      <c r="D38" s="22" t="n">
        <v>46323.50118055556</v>
      </c>
      <c r="E38" s="17" t="n">
        <v>1291.586</v>
      </c>
      <c r="F38" s="16" t="n">
        <v>0.114688452</v>
      </c>
      <c r="G38" s="17">
        <f>E38*F38</f>
        <v/>
      </c>
      <c r="H38" s="22" t="n"/>
      <c r="I38" s="22" t="n"/>
      <c r="J38" s="17" t="n"/>
      <c r="K38" s="17">
        <f>IF(ISNUMBER(J38),J38*F38,"")</f>
        <v/>
      </c>
      <c r="L38" s="23">
        <f>IF(ISNUMBER(J38),K38-G38,"")</f>
        <v/>
      </c>
      <c r="M38" s="24">
        <f>IF(ISNUMBER(J38),L38/G38,"")</f>
        <v/>
      </c>
      <c r="N38" s="25">
        <f>IF(ISNUMBER(H38),H38-C38,"")</f>
        <v/>
      </c>
      <c r="O38" s="6" t="n"/>
      <c r="P38" s="6" t="inlineStr">
        <is>
          <t>Open</t>
        </is>
      </c>
    </row>
    <row r="39">
      <c r="A39" s="6" t="inlineStr">
        <is>
          <t>REGN</t>
        </is>
      </c>
      <c r="B39" s="6" t="inlineStr">
        <is>
          <t>Regeneron Pharmaceuticals, Inc. Common Stock</t>
        </is>
      </c>
      <c r="C39" s="22" t="n">
        <v>46323.72341435185</v>
      </c>
      <c r="D39" s="22" t="n">
        <v>46323.51508101852</v>
      </c>
      <c r="E39" s="17" t="n">
        <v>811.418</v>
      </c>
      <c r="F39" s="16" t="n">
        <v>0.167361335</v>
      </c>
      <c r="G39" s="17">
        <f>E39*F39</f>
        <v/>
      </c>
      <c r="H39" s="22" t="n"/>
      <c r="I39" s="22" t="n"/>
      <c r="J39" s="17" t="n"/>
      <c r="K39" s="17">
        <f>IF(ISNUMBER(J39),J39*F39,"")</f>
        <v/>
      </c>
      <c r="L39" s="23">
        <f>IF(ISNUMBER(J39),K39-G39,"")</f>
        <v/>
      </c>
      <c r="M39" s="24">
        <f>IF(ISNUMBER(J39),L39/G39,"")</f>
        <v/>
      </c>
      <c r="N39" s="25">
        <f>IF(ISNUMBER(H39),H39-C39,"")</f>
        <v/>
      </c>
      <c r="O39" s="6" t="n"/>
      <c r="P39" s="6" t="inlineStr">
        <is>
          <t>Open</t>
        </is>
      </c>
    </row>
  </sheetData>
  <conditionalFormatting sqref="L2:M39">
    <cfRule type="cellIs" priority="1" operator="greaterThan" dxfId="0">
      <formula>0</formula>
    </cfRule>
  </conditionalFormatting>
  <pageMargins left="0.75" right="0.75" top="1" bottom="1" header="0.5" footer="0.5"/>
  <pageSetup orientation="portrait"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1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 ht="30" customHeight="1">
      <c r="A1" s="5" t="inlineStr">
        <is>
          <t>Rule</t>
        </is>
      </c>
      <c r="B1" s="5" t="inlineStr">
        <is>
          <t>What it does</t>
        </is>
      </c>
    </row>
    <row r="2">
      <c r="A2" s="26" t="inlineStr">
        <is>
          <t>Master switch</t>
        </is>
      </c>
      <c r="B2" s="26" t="inlineStr">
        <is>
          <t>Weekly time machine replays the last 6 months with these rules; if it would have lost money, no new buys</t>
        </is>
      </c>
    </row>
    <row r="3">
      <c r="A3" s="26" t="inlineStr">
        <is>
          <t>Buy</t>
        </is>
      </c>
      <c r="B3" s="26" t="inlineStr">
        <is>
          <t>4 or 5 of 5 green, time machine and data-is-real green (vetoes), nothing red, not already held; funds/ETFs skipped</t>
        </is>
      </c>
    </row>
    <row r="4">
      <c r="A4" s="26" t="inlineStr">
        <is>
          <t>Cash only</t>
        </is>
      </c>
      <c r="B4" s="26" t="inlineStr">
        <is>
          <t>Never uses margin</t>
        </is>
      </c>
    </row>
    <row r="5">
      <c r="A5" s="26" t="inlineStr">
        <is>
          <t>No buys before close</t>
        </is>
      </c>
      <c r="B5" s="26" t="inlineStr">
        <is>
          <t>Last 30 minutes of the session: sells only</t>
        </is>
      </c>
    </row>
    <row r="6">
      <c r="A6" s="26" t="inlineStr">
        <is>
          <t>Daily loss guard</t>
        </is>
      </c>
      <c r="B6" s="26" t="inlineStr">
        <is>
          <t>No new buys on a day the account is down 5% or more</t>
        </is>
      </c>
    </row>
    <row r="7">
      <c r="A7" s="26" t="inlineStr">
        <is>
          <t>Exit: 3 of 5 green</t>
        </is>
      </c>
      <c r="B7" s="26" t="inlineStr">
        <is>
          <t>Sell half, once (not again within 3 days)</t>
        </is>
      </c>
    </row>
    <row r="8">
      <c r="A8" s="26" t="inlineStr">
        <is>
          <t>Exit: 2 or fewer of 5, or time machine red</t>
        </is>
      </c>
      <c r="B8" s="26" t="inlineStr">
        <is>
          <t>Sell everything</t>
        </is>
      </c>
    </row>
    <row r="9">
      <c r="A9" s="26" t="inlineStr">
        <is>
          <t>Sell line</t>
        </is>
      </c>
      <c r="B9" s="26" t="inlineStr">
        <is>
          <t>5% below the highest price since buying, never lower than 5% under the buy price (bought 100, high 200: sells at 190). Also kept as a real Alpaca stop order that moves up with the price</t>
        </is>
      </c>
    </row>
    <row r="10">
      <c r="A10" s="26" t="inlineStr">
        <is>
          <t>Evening</t>
        </is>
      </c>
      <c r="B10" s="26" t="inlineStr">
        <is>
          <t>In the last 30 minutes before the close, everything up less than +5% is sold; +5% or more stays overnight. No buys in the last 30 minutes</t>
        </is>
      </c>
    </row>
    <row r="11">
      <c r="A11" s="26" t="inlineStr">
        <is>
          <t>Buy loop</t>
        </is>
      </c>
      <c r="B11" s="26" t="inlineStr">
        <is>
          <t>Each buy uses 8.33% of the cash available at that moment, repeated for every buy-ready stock (up to 100 stocks, orders of at least $5); never buys back a stock sold the same day</t>
        </is>
      </c>
    </row>
    <row r="12">
      <c r="A12" s="26" t="inlineStr">
        <is>
          <t>Bad day</t>
        </is>
      </c>
      <c r="B12" s="26" t="inlineStr">
        <is>
          <t>Down 3% today and not 5 of 5 green: sell everything</t>
        </is>
      </c>
    </row>
    <row r="13">
      <c r="A13" s="26" t="inlineStr">
        <is>
          <t>Take profit</t>
        </is>
      </c>
      <c r="B13" s="26" t="inlineStr">
        <is>
          <t>Off: winners keep running until the sell line or the close</t>
        </is>
      </c>
    </row>
    <row r="14">
      <c r="A14" s="26" t="inlineStr">
        <is>
          <t>Scope</t>
        </is>
      </c>
      <c r="B14" s="26" t="inlineStr">
        <is>
          <t>Only positions the auto-trader bought (client order ID starts with tdagent-)</t>
        </is>
      </c>
    </row>
    <row r="15">
      <c r="A15" s="26" t="inlineStr">
        <is>
          <t>Check 1 · Data is real</t>
        </is>
      </c>
      <c r="B15" s="26" t="inlineStr">
        <is>
          <t>Price agrees across trade, quote, minute, hourly and daily bars; history has no broken bars or holes</t>
        </is>
      </c>
    </row>
    <row r="16">
      <c r="A16" s="26" t="inlineStr">
        <is>
          <t>Check 2 · Organic</t>
        </is>
      </c>
      <c r="B16" s="26" t="inlineStr">
        <is>
          <t>No volume pump without news, no one-day jump doing the work, no gaps, no pump-and-fade, not thin</t>
        </is>
      </c>
    </row>
    <row r="17">
      <c r="A17" s="26" t="inlineStr">
        <is>
          <t>Check 3 · Prediction</t>
        </is>
      </c>
      <c r="B17" s="26" t="inlineStr">
        <is>
          <t>5-trading-day momentum call with a volatility range; green only when it leans up</t>
        </is>
      </c>
    </row>
    <row r="18">
      <c r="A18" s="26" t="inlineStr">
        <is>
          <t>Check 4 · News</t>
        </is>
      </c>
      <c r="B18" s="26" t="inlineStr">
        <is>
          <t>Headlines in the last 72 hours scored for high-impact words against today's move</t>
        </is>
      </c>
    </row>
    <row r="19">
      <c r="A19" s="26" t="inlineStr">
        <is>
          <t>Check 5 · Time machine</t>
        </is>
      </c>
      <c r="B19" s="26" t="inlineStr">
        <is>
          <t>Replays the stock's past year: on days it looked green, did it rise over the next 5 trading days? Green at 55%+ hit rate and positive average</t>
        </is>
      </c>
    </row>
  </sheetData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2026-10-28T16:21:52Z</dcterms:created>
  <dcterms:modified xsi:type="dcterms:W3CDTF">2026-10-28T16:21:52Z</dcterms:modified>
</cp:coreProperties>
</file>