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$#,##0.00"/>
    <numFmt numFmtId="167" formatCode="$#,##0.00;[Red]-$#,##0.00"/>
    <numFmt numFmtId="168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27284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vertical="center" wrapText="1"/>
    </xf>
    <xf numFmtId="0" fontId="6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46321.38127314814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46321.17293981482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COUNTIF(Orders!$E$2:$E$2,"BUY")+COUNTIF(Orders!$E$2:$E$2,"SELL")</f>
        <v/>
      </c>
    </row>
    <row r="9">
      <c r="A9" s="6" t="inlineStr">
        <is>
          <t>Buy orders</t>
        </is>
      </c>
      <c r="B9" s="7">
        <f>COUNTIF(Orders!$E$2:$E$2,"BUY")</f>
        <v/>
      </c>
    </row>
    <row r="10">
      <c r="A10" s="6" t="inlineStr">
        <is>
          <t>Sell orders</t>
        </is>
      </c>
      <c r="B10" s="7">
        <f>COUNTIF(Orders!$E$2:$E$2,"SELL")</f>
        <v/>
      </c>
    </row>
    <row r="11">
      <c r="A11" s="6" t="inlineStr">
        <is>
          <t>Filled orders</t>
        </is>
      </c>
      <c r="B11" s="7">
        <f>COUNTIF(Orders!$I$2:$I$2,"filled")</f>
        <v/>
      </c>
    </row>
    <row r="12">
      <c r="A12" s="6" t="inlineStr">
        <is>
          <t>Total bought $</t>
        </is>
      </c>
      <c r="B12" s="8">
        <f>SUMIFS(Orders!$L$2:$L$2,Orders!$E$2:$E$2,"BUY")</f>
        <v/>
      </c>
    </row>
    <row r="13">
      <c r="A13" s="6" t="inlineStr">
        <is>
          <t>Total sold $</t>
        </is>
      </c>
      <c r="B13" s="8">
        <f>SUMIFS(Orders!$L$2:$L$2,Orders!$E$2:$E$2,"SELL")</f>
        <v/>
      </c>
    </row>
    <row r="14">
      <c r="A14" s="6" t="inlineStr">
        <is>
          <t>Closed round trips</t>
        </is>
      </c>
      <c r="B14" s="7">
        <f>COUNTIF('Round trips'!$P$2:$P$2,"Closed")</f>
        <v/>
      </c>
    </row>
    <row r="15">
      <c r="A15" s="6" t="inlineStr">
        <is>
          <t>Open lots</t>
        </is>
      </c>
      <c r="B15" s="7">
        <f>COUNTIF('Round trips'!$P$2:$P$2,"Open")</f>
        <v/>
      </c>
    </row>
    <row r="16">
      <c r="A16" s="6" t="inlineStr">
        <is>
          <t>Realized P/L $</t>
        </is>
      </c>
      <c r="B16" s="9">
        <f>SUM('Round trips'!$L$2:$L$2)</f>
        <v/>
      </c>
    </row>
    <row r="17">
      <c r="A17" s="6" t="inlineStr">
        <is>
          <t>Winning round trips</t>
        </is>
      </c>
      <c r="B17" s="7">
        <f>COUNTIFS('Round trips'!$P$2:$P$2,"Closed",'Round trips'!$L$2:$L$2,"&gt;0")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inlineStr">
        <is>
          <t>No orders yet. Rows appear here as soon as the auto-trader places one.</t>
        </is>
      </c>
    </row>
  </sheetData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12" t="inlineStr">
        <is>
          <t>No filled buys yet.</t>
        </is>
      </c>
    </row>
  </sheetData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13" t="inlineStr">
        <is>
          <t>Master switch</t>
        </is>
      </c>
      <c r="B2" s="13" t="inlineStr">
        <is>
          <t>Weekly time machine replays the last 6 months with these rules; if it would have lost money, no new buys</t>
        </is>
      </c>
    </row>
    <row r="3">
      <c r="A3" s="13" t="inlineStr">
        <is>
          <t>Buy</t>
        </is>
      </c>
      <c r="B3" s="13" t="inlineStr">
        <is>
          <t>4 or 5 of 5 green, time machine and data-is-real green (vetoes), nothing red, not already held; funds/ETFs skipped</t>
        </is>
      </c>
    </row>
    <row r="4">
      <c r="A4" s="13" t="inlineStr">
        <is>
          <t>Cash only</t>
        </is>
      </c>
      <c r="B4" s="13" t="inlineStr">
        <is>
          <t>Never uses margin</t>
        </is>
      </c>
    </row>
    <row r="5">
      <c r="A5" s="13" t="inlineStr">
        <is>
          <t>No buys before close</t>
        </is>
      </c>
      <c r="B5" s="13" t="inlineStr">
        <is>
          <t>Last 60 minutes of the session: sells only</t>
        </is>
      </c>
    </row>
    <row r="6">
      <c r="A6" s="13" t="inlineStr">
        <is>
          <t>Daily loss guard</t>
        </is>
      </c>
      <c r="B6" s="13" t="inlineStr">
        <is>
          <t>No new buys on a day the account is down 5% or more</t>
        </is>
      </c>
    </row>
    <row r="7">
      <c r="A7" s="13" t="inlineStr">
        <is>
          <t>Exit: 3 of 5 green</t>
        </is>
      </c>
      <c r="B7" s="13" t="inlineStr">
        <is>
          <t>Sell half, once (not again within 3 days)</t>
        </is>
      </c>
    </row>
    <row r="8">
      <c r="A8" s="13" t="inlineStr">
        <is>
          <t>Exit: 2 or fewer of 5, or time machine red</t>
        </is>
      </c>
      <c r="B8" s="13" t="inlineStr">
        <is>
          <t>Sell everything</t>
        </is>
      </c>
    </row>
    <row r="9">
      <c r="A9" s="13" t="inlineStr">
        <is>
          <t>Sell line</t>
        </is>
      </c>
      <c r="B9" s="13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13" t="inlineStr">
        <is>
          <t>Evening</t>
        </is>
      </c>
      <c r="B10" s="13" t="inlineStr">
        <is>
          <t>In the last 30 minutes before the close, everything up less than +10% is sold; +10% or more stays overnight. No buys in the last 60 minutes</t>
        </is>
      </c>
    </row>
    <row r="11">
      <c r="A11" s="13" t="inlineStr">
        <is>
          <t>Buy loop</t>
        </is>
      </c>
      <c r="B11" s="13" t="inlineStr">
        <is>
          <t>Each buy uses 8.33% of the cash available at that moment, repeated for every buy-ready stock (up to 40 stocks, orders of at least $5); never buys back a stock sold the same day</t>
        </is>
      </c>
    </row>
    <row r="12">
      <c r="A12" s="13" t="inlineStr">
        <is>
          <t>Bad day</t>
        </is>
      </c>
      <c r="B12" s="13" t="inlineStr">
        <is>
          <t>Down 3% today and not 5 of 5 green: sell everything</t>
        </is>
      </c>
    </row>
    <row r="13">
      <c r="A13" s="13" t="inlineStr">
        <is>
          <t>Take profit</t>
        </is>
      </c>
      <c r="B13" s="13" t="inlineStr">
        <is>
          <t>Off: winners keep running until the sell line or the close</t>
        </is>
      </c>
    </row>
    <row r="14">
      <c r="A14" s="13" t="inlineStr">
        <is>
          <t>Scope</t>
        </is>
      </c>
      <c r="B14" s="13" t="inlineStr">
        <is>
          <t>Only positions the auto-trader bought (client order ID starts with tdagent-)</t>
        </is>
      </c>
    </row>
    <row r="15">
      <c r="A15" s="13" t="inlineStr">
        <is>
          <t>Check 1 · Data is real</t>
        </is>
      </c>
      <c r="B15" s="13" t="inlineStr">
        <is>
          <t>Price agrees across trade, quote, minute, hourly and daily bars; history has no broken bars or holes</t>
        </is>
      </c>
    </row>
    <row r="16">
      <c r="A16" s="13" t="inlineStr">
        <is>
          <t>Check 2 · Organic</t>
        </is>
      </c>
      <c r="B16" s="13" t="inlineStr">
        <is>
          <t>No volume pump without news, no one-day jump doing the work, no gaps, no pump-and-fade, not thin</t>
        </is>
      </c>
    </row>
    <row r="17">
      <c r="A17" s="13" t="inlineStr">
        <is>
          <t>Check 3 · Prediction</t>
        </is>
      </c>
      <c r="B17" s="13" t="inlineStr">
        <is>
          <t>5-trading-day momentum call with a volatility range; green only when it leans up</t>
        </is>
      </c>
    </row>
    <row r="18">
      <c r="A18" s="13" t="inlineStr">
        <is>
          <t>Check 4 · News</t>
        </is>
      </c>
      <c r="B18" s="13" t="inlineStr">
        <is>
          <t>Headlines in the last 72 hours scored for high-impact words against today's move</t>
        </is>
      </c>
    </row>
    <row r="19">
      <c r="A19" s="13" t="inlineStr">
        <is>
          <t>Check 5 · Time machine</t>
        </is>
      </c>
      <c r="B19" s="13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2026-10-26T08:09:02Z</dcterms:created>
  <dcterms:modified xsi:type="dcterms:W3CDTF">2026-10-26T08:09:02Z</dcterms:modified>
</cp:coreProperties>
</file>