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Orders" sheetId="2" state="visible" r:id="rId2"/>
    <sheet name="Round trips" sheetId="3" state="visible" r:id="rId3"/>
    <sheet name="Rule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yyyy-mm-dd h:mm:ss"/>
    <numFmt numFmtId="165" formatCode="yyyy-mm-dd hh:mm:ss"/>
    <numFmt numFmtId="166" formatCode="0.000000"/>
    <numFmt numFmtId="167" formatCode="$#,##0.00"/>
    <numFmt numFmtId="168" formatCode="yyyy-mm-dd"/>
    <numFmt numFmtId="169" formatCode="yyyy-mm-dd hh:mm"/>
    <numFmt numFmtId="170" formatCode="$#,##0.00;[Red]-$#,##0.00"/>
    <numFmt numFmtId="171" formatCode="0.00%;[Red]-0.00%"/>
    <numFmt numFmtId="172" formatCode="0.0"/>
    <numFmt numFmtId="173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2805C"/>
      <sz val="10"/>
    </font>
    <font>
      <name val="Arial"/>
      <b val="1"/>
      <color rgb="00C2362F"/>
      <sz val="10"/>
    </font>
    <font>
      <name val="Arial"/>
      <b val="1"/>
      <color rgb="00132130"/>
      <sz val="16"/>
    </font>
    <font>
      <name val="Arial"/>
      <color rgb="00627284"/>
      <sz val="10"/>
    </font>
    <font>
      <name val="Arial"/>
      <b val="1"/>
      <sz val="10"/>
    </font>
    <font>
      <name val="Arial"/>
      <i val="1"/>
      <color rgb="00627284"/>
      <sz val="9"/>
    </font>
  </fonts>
  <fills count="3">
    <fill>
      <patternFill/>
    </fill>
    <fill>
      <patternFill patternType="gray125"/>
    </fill>
    <fill>
      <patternFill patternType="solid">
        <fgColor rgb="000D6E8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165" fontId="7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pivotButton="0" quotePrefix="0" xfId="0"/>
    <xf numFmtId="1" fontId="7" fillId="0" borderId="0" pivotButton="0" quotePrefix="0" xfId="0"/>
    <xf numFmtId="167" fontId="7" fillId="0" borderId="0" pivotButton="0" quotePrefix="0" xfId="0"/>
    <xf numFmtId="170" fontId="7" fillId="0" borderId="0" pivotButton="0" quotePrefix="0" xfId="0"/>
    <xf numFmtId="173" fontId="7" fillId="0" borderId="0" pivotButton="0" quotePrefix="0" xfId="0"/>
    <xf numFmtId="0" fontId="8" fillId="0" borderId="0" pivotButton="0" quotePrefix="0" xfId="0"/>
    <xf numFmtId="1" fontId="2" fillId="0" borderId="0" pivotButton="0" quotePrefix="0" xfId="0"/>
    <xf numFmtId="165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/>
    </xf>
    <xf numFmtId="166" fontId="2" fillId="0" borderId="0" pivotButton="0" quotePrefix="0" xfId="0"/>
    <xf numFmtId="167" fontId="2" fillId="0" borderId="0" pivotButton="0" quotePrefix="0" xfId="0"/>
    <xf numFmtId="9" fontId="2" fillId="0" borderId="0" pivotButton="0" quotePrefix="0" xfId="0"/>
    <xf numFmtId="10" fontId="2" fillId="0" borderId="0" pivotButton="0" quotePrefix="0" xfId="0"/>
    <xf numFmtId="168" fontId="2" fillId="0" borderId="0" pivotButton="0" quotePrefix="0" xfId="0"/>
    <xf numFmtId="0" fontId="4" fillId="0" borderId="0" pivotButton="0" quotePrefix="0" xfId="0"/>
    <xf numFmtId="169" fontId="2" fillId="0" borderId="0" pivotButton="0" quotePrefix="0" xfId="0"/>
    <xf numFmtId="170" fontId="2" fillId="0" borderId="0" pivotButton="0" quotePrefix="0" xfId="0"/>
    <xf numFmtId="171" fontId="2" fillId="0" borderId="0" pivotButton="0" quotePrefix="0" xfId="0"/>
    <xf numFmtId="172" fontId="2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 hidden="0"/>
  </cellStyles>
  <dxfs count="1">
    <dxf>
      <font>
        <name val="Arial"/>
        <color rgb="0012805C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Orders" displayName="Orders" ref="A1:BA102" headerRowCount="1">
  <autoFilter ref="A1:BA102"/>
  <tableColumns count="53">
    <tableColumn id="1" name="No"/>
    <tableColumn id="2" name="Time Berlin"/>
    <tableColumn id="3" name="Time New York"/>
    <tableColumn id="4" name="Time UTC"/>
    <tableColumn id="5" name="Side"/>
    <tableColumn id="6" name="Symbol"/>
    <tableColumn id="7" name="Company"/>
    <tableColumn id="8" name="Exchange"/>
    <tableColumn id="9" name="Status"/>
    <tableColumn id="10" name="Qty filled"/>
    <tableColumn id="11" name="Avg fill price $"/>
    <tableColumn id="12" name="Fill value $"/>
    <tableColumn id="13" name="Requested $"/>
    <tableColumn id="14" name="Requested qty"/>
    <tableColumn id="15" name="Rule"/>
    <tableColumn id="16" name="Reason"/>
    <tableColumn id="17" name="Greens (of 5)"/>
    <tableColumn id="18" name="Time machine"/>
    <tableColumn id="19" name="TM hit rate"/>
    <tableColumn id="20" name="TM green days"/>
    <tableColumn id="21" name="TM avg 5-day %"/>
    <tableColumn id="22" name="Master switch 6-mo return %"/>
    <tableColumn id="23" name="Agent rank"/>
    <tableColumn id="24" name="1 Data real"/>
    <tableColumn id="25" name="Source spread %"/>
    <tableColumn id="26" name="2 Organic"/>
    <tableColumn id="27" name="Organic score"/>
    <tableColumn id="28" name="Organic flags"/>
    <tableColumn id="29" name="3 Prediction"/>
    <tableColumn id="30" name="Call"/>
    <tableColumn id="31" name="Target $"/>
    <tableColumn id="32" name="Range low $"/>
    <tableColumn id="33" name="Range high $"/>
    <tableColumn id="34" name="Call due"/>
    <tableColumn id="35" name="Confidence"/>
    <tableColumn id="36" name="4 News"/>
    <tableColumn id="37" name="Headlines (72h)"/>
    <tableColumn id="38" name="Top headline"/>
    <tableColumn id="39" name="Price at decision $"/>
    <tableColumn id="40" name="Move today %"/>
    <tableColumn id="41" name="Account equity before $"/>
    <tableColumn id="42" name="Cash before $"/>
    <tableColumn id="43" name="Slot %"/>
    <tableColumn id="44" name="Position qty before"/>
    <tableColumn id="45" name="Avg entry before $"/>
    <tableColumn id="46" name="P/L % before"/>
    <tableColumn id="47" name="Account"/>
    <tableColumn id="48" name="Order ID"/>
    <tableColumn id="49" name="Client order ID"/>
    <tableColumn id="50" name="Decided at (UTC)"/>
    <tableColumn id="51" name="Filled at (UTC)"/>
    <tableColumn id="52" name="Agent run (UTC)"/>
    <tableColumn id="53" name="Error"/>
  </tableColumns>
  <tableStyleInfo name="TableStyleLight9" showRowStripes="1"/>
</table>
</file>

<file path=xl/tables/table2.xml><?xml version="1.0" encoding="utf-8"?>
<table xmlns="http://schemas.openxmlformats.org/spreadsheetml/2006/main" id="2" name="RoundTrips" displayName="RoundTrips" ref="A1:P66" headerRowCount="1">
  <autoFilter ref="A1:P66"/>
  <tableColumns count="16">
    <tableColumn id="1" name="Symbol"/>
    <tableColumn id="2" name="Company"/>
    <tableColumn id="3" name="Bought (Berlin)"/>
    <tableColumn id="4" name="Bought (New York)"/>
    <tableColumn id="5" name="Buy price $"/>
    <tableColumn id="6" name="Qty"/>
    <tableColumn id="7" name="Cost $"/>
    <tableColumn id="8" name="Sold (Berlin)"/>
    <tableColumn id="9" name="Sold (New York)"/>
    <tableColumn id="10" name="Sell price $"/>
    <tableColumn id="11" name="Proceeds $"/>
    <tableColumn id="12" name="P/L $"/>
    <tableColumn id="13" name="P/L %"/>
    <tableColumn id="14" name="Days held"/>
    <tableColumn id="15" name="Exit rule"/>
    <tableColumn id="16" name="Status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</cols>
  <sheetData>
    <row r="1">
      <c r="A1" s="1" t="inlineStr">
        <is>
          <t>Trade Journal · Week 44 · 2026</t>
        </is>
      </c>
    </row>
    <row r="2">
      <c r="A2" s="2" t="inlineStr">
        <is>
          <t>Generated (Berlin)</t>
        </is>
      </c>
      <c r="B2" s="3" t="n">
        <v>46324.68532407407</v>
      </c>
      <c r="C2" s="2" t="inlineStr">
        <is>
          <t>Period</t>
        </is>
      </c>
      <c r="D2" s="4" t="inlineStr">
        <is>
          <t>Mon 26 Oct 2026 to Sun 01 Nov 2026 (New York dates)</t>
        </is>
      </c>
    </row>
    <row r="3">
      <c r="A3" s="2" t="inlineStr">
        <is>
          <t>Generated (New York)</t>
        </is>
      </c>
      <c r="B3" s="3" t="n">
        <v>46324.47699074074</v>
      </c>
    </row>
    <row r="4">
      <c r="A4" s="2" t="inlineStr">
        <is>
          <t>Account</t>
        </is>
      </c>
      <c r="B4" s="4" t="inlineStr">
        <is>
          <t>Paper (practice money)</t>
        </is>
      </c>
    </row>
    <row r="5">
      <c r="A5" s="2" t="inlineStr">
        <is>
          <t>Auto-trader switch</t>
        </is>
      </c>
      <c r="B5" s="4" t="inlineStr">
        <is>
          <t>ON</t>
        </is>
      </c>
    </row>
    <row r="7" ht="30" customHeight="1">
      <c r="A7" s="5" t="inlineStr">
        <is>
          <t>Measure</t>
        </is>
      </c>
      <c r="B7" s="5" t="inlineStr">
        <is>
          <t>Value</t>
        </is>
      </c>
    </row>
    <row r="8">
      <c r="A8" s="6" t="inlineStr">
        <is>
          <t>Orders placed</t>
        </is>
      </c>
      <c r="B8" s="7">
        <f>COUNTIF(Orders!$E$2:$E$102,"BUY")+COUNTIF(Orders!$E$2:$E$102,"SELL")</f>
        <v/>
      </c>
    </row>
    <row r="9">
      <c r="A9" s="6" t="inlineStr">
        <is>
          <t>Buy orders</t>
        </is>
      </c>
      <c r="B9" s="7">
        <f>COUNTIF(Orders!$E$2:$E$102,"BUY")</f>
        <v/>
      </c>
    </row>
    <row r="10">
      <c r="A10" s="6" t="inlineStr">
        <is>
          <t>Sell orders</t>
        </is>
      </c>
      <c r="B10" s="7">
        <f>COUNTIF(Orders!$E$2:$E$102,"SELL")</f>
        <v/>
      </c>
    </row>
    <row r="11">
      <c r="A11" s="6" t="inlineStr">
        <is>
          <t>Filled orders</t>
        </is>
      </c>
      <c r="B11" s="7">
        <f>COUNTIF(Orders!$I$2:$I$102,"filled")</f>
        <v/>
      </c>
    </row>
    <row r="12">
      <c r="A12" s="6" t="inlineStr">
        <is>
          <t>Total bought $</t>
        </is>
      </c>
      <c r="B12" s="8">
        <f>SUMIFS(Orders!$L$2:$L$102,Orders!$E$2:$E$102,"BUY")</f>
        <v/>
      </c>
    </row>
    <row r="13">
      <c r="A13" s="6" t="inlineStr">
        <is>
          <t>Total sold $</t>
        </is>
      </c>
      <c r="B13" s="8">
        <f>SUMIFS(Orders!$L$2:$L$102,Orders!$E$2:$E$102,"SELL")</f>
        <v/>
      </c>
    </row>
    <row r="14">
      <c r="A14" s="6" t="inlineStr">
        <is>
          <t>Closed round trips</t>
        </is>
      </c>
      <c r="B14" s="7">
        <f>COUNTIF('Round trips'!$P$2:$P$66,"Closed")</f>
        <v/>
      </c>
    </row>
    <row r="15">
      <c r="A15" s="6" t="inlineStr">
        <is>
          <t>Open lots</t>
        </is>
      </c>
      <c r="B15" s="7">
        <f>COUNTIF('Round trips'!$P$2:$P$66,"Open")</f>
        <v/>
      </c>
    </row>
    <row r="16">
      <c r="A16" s="6" t="inlineStr">
        <is>
          <t>Realized P/L $</t>
        </is>
      </c>
      <c r="B16" s="9">
        <f>SUM('Round trips'!$L$2:$L$66)</f>
        <v/>
      </c>
    </row>
    <row r="17">
      <c r="A17" s="6" t="inlineStr">
        <is>
          <t>Winning round trips</t>
        </is>
      </c>
      <c r="B17" s="7">
        <f>COUNTIFS('Round trips'!$P$2:$P$66,"Closed",'Round trips'!$L$2:$L$66,"&gt;0")</f>
        <v/>
      </c>
    </row>
    <row r="18">
      <c r="A18" s="6" t="inlineStr">
        <is>
          <t>Win rate</t>
        </is>
      </c>
      <c r="B18" s="10">
        <f>IFERROR(B17/B14,0)</f>
        <v/>
      </c>
    </row>
    <row r="20">
      <c r="A20" s="11" t="inlineStr">
        <is>
          <t>Times: New York is the exchange clock; Berlin is your local time. Round trips match buys to sells first-in-first-out.</t>
        </is>
      </c>
    </row>
    <row r="21">
      <c r="A21" s="11" t="inlineStr">
        <is>
          <t>Source: Alpaca order data recorded by the auto-trader at the moment each order was placed.</t>
        </is>
      </c>
    </row>
  </sheetData>
  <pageMargins left="0.75" right="0.75" top="1" bottom="1" header="0.5" footer="0.5"/>
  <pageSetup orientation="portrait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A102"/>
  <sheetViews>
    <sheetView showGridLines="1" workbookViewId="0">
      <pane xSplit="6" ySplit="1" topLeftCell="G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19" customWidth="1" min="2" max="2"/>
    <col width="19" customWidth="1" min="3" max="3"/>
    <col width="19" customWidth="1" min="4" max="4"/>
    <col width="7" customWidth="1" min="5" max="5"/>
    <col width="9" customWidth="1" min="6" max="6"/>
    <col width="28" customWidth="1" min="7" max="7"/>
    <col width="10" customWidth="1" min="8" max="8"/>
    <col width="11" customWidth="1" min="9" max="9"/>
    <col width="12" customWidth="1" min="10" max="10"/>
    <col width="13" customWidth="1" min="11" max="11"/>
    <col width="13" customWidth="1" min="12" max="12"/>
    <col width="12" customWidth="1" min="13" max="13"/>
    <col width="12" customWidth="1" min="14" max="14"/>
    <col width="18" customWidth="1" min="15" max="15"/>
    <col width="40" customWidth="1" min="16" max="16"/>
    <col width="9" customWidth="1" min="17" max="17"/>
    <col width="11" customWidth="1" min="18" max="18"/>
    <col width="9" customWidth="1" min="19" max="19"/>
    <col width="9" customWidth="1" min="20" max="20"/>
    <col width="10" customWidth="1" min="21" max="21"/>
    <col width="12" customWidth="1" min="22" max="22"/>
    <col width="8" customWidth="1" min="23" max="23"/>
    <col width="10" customWidth="1" min="24" max="24"/>
    <col width="10" customWidth="1" min="25" max="25"/>
    <col width="10" customWidth="1" min="26" max="26"/>
    <col width="9" customWidth="1" min="27" max="27"/>
    <col width="40" customWidth="1" min="28" max="28"/>
    <col width="11" customWidth="1" min="29" max="29"/>
    <col width="7" customWidth="1" min="30" max="30"/>
    <col width="11" customWidth="1" min="31" max="31"/>
    <col width="11" customWidth="1" min="32" max="32"/>
    <col width="11" customWidth="1" min="33" max="33"/>
    <col width="11" customWidth="1" min="34" max="34"/>
    <col width="10" customWidth="1" min="35" max="35"/>
    <col width="9" customWidth="1" min="36" max="36"/>
    <col width="9" customWidth="1" min="37" max="37"/>
    <col width="44" customWidth="1" min="38" max="38"/>
    <col width="13" customWidth="1" min="39" max="39"/>
    <col width="10" customWidth="1" min="40" max="40"/>
    <col width="15" customWidth="1" min="41" max="41"/>
    <col width="13" customWidth="1" min="42" max="42"/>
    <col width="8" customWidth="1" min="43" max="43"/>
    <col width="12" customWidth="1" min="44" max="44"/>
    <col width="13" customWidth="1" min="45" max="45"/>
    <col width="10" customWidth="1" min="46" max="46"/>
    <col width="8" customWidth="1" min="47" max="47"/>
    <col width="38" customWidth="1" min="48" max="48"/>
    <col width="40" customWidth="1" min="49" max="49"/>
    <col width="19" customWidth="1" min="50" max="50"/>
    <col width="19" customWidth="1" min="51" max="51"/>
    <col width="19" customWidth="1" min="52" max="52"/>
    <col width="40" customWidth="1" min="53" max="53"/>
  </cols>
  <sheetData>
    <row r="1" ht="30" customHeight="1">
      <c r="A1" s="5" t="inlineStr">
        <is>
          <t>No</t>
        </is>
      </c>
      <c r="B1" s="5" t="inlineStr">
        <is>
          <t>Time Berlin</t>
        </is>
      </c>
      <c r="C1" s="5" t="inlineStr">
        <is>
          <t>Time New York</t>
        </is>
      </c>
      <c r="D1" s="5" t="inlineStr">
        <is>
          <t>Time UTC</t>
        </is>
      </c>
      <c r="E1" s="5" t="inlineStr">
        <is>
          <t>Side</t>
        </is>
      </c>
      <c r="F1" s="5" t="inlineStr">
        <is>
          <t>Symbol</t>
        </is>
      </c>
      <c r="G1" s="5" t="inlineStr">
        <is>
          <t>Company</t>
        </is>
      </c>
      <c r="H1" s="5" t="inlineStr">
        <is>
          <t>Exchange</t>
        </is>
      </c>
      <c r="I1" s="5" t="inlineStr">
        <is>
          <t>Status</t>
        </is>
      </c>
      <c r="J1" s="5" t="inlineStr">
        <is>
          <t>Qty filled</t>
        </is>
      </c>
      <c r="K1" s="5" t="inlineStr">
        <is>
          <t>Avg fill price $</t>
        </is>
      </c>
      <c r="L1" s="5" t="inlineStr">
        <is>
          <t>Fill value $</t>
        </is>
      </c>
      <c r="M1" s="5" t="inlineStr">
        <is>
          <t>Requested $</t>
        </is>
      </c>
      <c r="N1" s="5" t="inlineStr">
        <is>
          <t>Requested qty</t>
        </is>
      </c>
      <c r="O1" s="5" t="inlineStr">
        <is>
          <t>Rule</t>
        </is>
      </c>
      <c r="P1" s="5" t="inlineStr">
        <is>
          <t>Reason</t>
        </is>
      </c>
      <c r="Q1" s="5" t="inlineStr">
        <is>
          <t>Greens (of 5)</t>
        </is>
      </c>
      <c r="R1" s="5" t="inlineStr">
        <is>
          <t>Time machine</t>
        </is>
      </c>
      <c r="S1" s="5" t="inlineStr">
        <is>
          <t>TM hit rate</t>
        </is>
      </c>
      <c r="T1" s="5" t="inlineStr">
        <is>
          <t>TM green days</t>
        </is>
      </c>
      <c r="U1" s="5" t="inlineStr">
        <is>
          <t>TM avg 5-day %</t>
        </is>
      </c>
      <c r="V1" s="5" t="inlineStr">
        <is>
          <t>Master switch 6-mo return %</t>
        </is>
      </c>
      <c r="W1" s="5" t="inlineStr">
        <is>
          <t>Agent rank</t>
        </is>
      </c>
      <c r="X1" s="5" t="inlineStr">
        <is>
          <t>1 Data real</t>
        </is>
      </c>
      <c r="Y1" s="5" t="inlineStr">
        <is>
          <t>Source spread %</t>
        </is>
      </c>
      <c r="Z1" s="5" t="inlineStr">
        <is>
          <t>2 Organic</t>
        </is>
      </c>
      <c r="AA1" s="5" t="inlineStr">
        <is>
          <t>Organic score</t>
        </is>
      </c>
      <c r="AB1" s="5" t="inlineStr">
        <is>
          <t>Organic flags</t>
        </is>
      </c>
      <c r="AC1" s="5" t="inlineStr">
        <is>
          <t>3 Prediction</t>
        </is>
      </c>
      <c r="AD1" s="5" t="inlineStr">
        <is>
          <t>Call</t>
        </is>
      </c>
      <c r="AE1" s="5" t="inlineStr">
        <is>
          <t>Target $</t>
        </is>
      </c>
      <c r="AF1" s="5" t="inlineStr">
        <is>
          <t>Range low $</t>
        </is>
      </c>
      <c r="AG1" s="5" t="inlineStr">
        <is>
          <t>Range high $</t>
        </is>
      </c>
      <c r="AH1" s="5" t="inlineStr">
        <is>
          <t>Call due</t>
        </is>
      </c>
      <c r="AI1" s="5" t="inlineStr">
        <is>
          <t>Confidence</t>
        </is>
      </c>
      <c r="AJ1" s="5" t="inlineStr">
        <is>
          <t>4 News</t>
        </is>
      </c>
      <c r="AK1" s="5" t="inlineStr">
        <is>
          <t>Headlines (72h)</t>
        </is>
      </c>
      <c r="AL1" s="5" t="inlineStr">
        <is>
          <t>Top headline</t>
        </is>
      </c>
      <c r="AM1" s="5" t="inlineStr">
        <is>
          <t>Price at decision $</t>
        </is>
      </c>
      <c r="AN1" s="5" t="inlineStr">
        <is>
          <t>Move today %</t>
        </is>
      </c>
      <c r="AO1" s="5" t="inlineStr">
        <is>
          <t>Account equity before $</t>
        </is>
      </c>
      <c r="AP1" s="5" t="inlineStr">
        <is>
          <t>Cash before $</t>
        </is>
      </c>
      <c r="AQ1" s="5" t="inlineStr">
        <is>
          <t>Slot %</t>
        </is>
      </c>
      <c r="AR1" s="5" t="inlineStr">
        <is>
          <t>Position qty before</t>
        </is>
      </c>
      <c r="AS1" s="5" t="inlineStr">
        <is>
          <t>Avg entry before $</t>
        </is>
      </c>
      <c r="AT1" s="5" t="inlineStr">
        <is>
          <t>P/L % before</t>
        </is>
      </c>
      <c r="AU1" s="5" t="inlineStr">
        <is>
          <t>Account</t>
        </is>
      </c>
      <c r="AV1" s="5" t="inlineStr">
        <is>
          <t>Order ID</t>
        </is>
      </c>
      <c r="AW1" s="5" t="inlineStr">
        <is>
          <t>Client order ID</t>
        </is>
      </c>
      <c r="AX1" s="5" t="inlineStr">
        <is>
          <t>Decided at (UTC)</t>
        </is>
      </c>
      <c r="AY1" s="5" t="inlineStr">
        <is>
          <t>Filled at (UTC)</t>
        </is>
      </c>
      <c r="AZ1" s="5" t="inlineStr">
        <is>
          <t>Agent run (UTC)</t>
        </is>
      </c>
      <c r="BA1" s="5" t="inlineStr">
        <is>
          <t>Error</t>
        </is>
      </c>
    </row>
    <row r="2">
      <c r="A2" s="12" t="n">
        <v>1</v>
      </c>
      <c r="B2" s="13" t="n">
        <v>46322.71633101852</v>
      </c>
      <c r="C2" s="13" t="n">
        <v>46322.50799768518</v>
      </c>
      <c r="D2" s="13" t="n">
        <v>46322.67466435185</v>
      </c>
      <c r="E2" s="14" t="inlineStr">
        <is>
          <t>BUY</t>
        </is>
      </c>
      <c r="F2" s="6" t="inlineStr">
        <is>
          <t>TMO</t>
        </is>
      </c>
      <c r="G2" s="15" t="inlineStr">
        <is>
          <t>Thermo Fisher Scientific, Inc.</t>
        </is>
      </c>
      <c r="H2" s="6" t="inlineStr">
        <is>
          <t>NYSE</t>
        </is>
      </c>
      <c r="I2" s="6" t="inlineStr">
        <is>
          <t>filled</t>
        </is>
      </c>
      <c r="J2" s="16" t="n">
        <v>11.986804426</v>
      </c>
      <c r="K2" s="17" t="n">
        <v>694.9299999999999</v>
      </c>
      <c r="L2" s="17">
        <f>IF(AND(ISNUMBER(J2),ISNUMBER(K2)),J2*K2,"")</f>
        <v/>
      </c>
      <c r="M2" s="17" t="n">
        <v>8330</v>
      </c>
      <c r="N2" s="16" t="n"/>
      <c r="O2" s="6" t="inlineStr">
        <is>
          <t>4+/5 green</t>
        </is>
      </c>
      <c r="P2" s="15" t="inlineStr">
        <is>
          <t>5 of 5 green, time machine green, rank #1, 8.33% of the $100,000.00 account</t>
        </is>
      </c>
      <c r="Q2" s="12" t="n">
        <v>5</v>
      </c>
      <c r="R2" s="6" t="inlineStr">
        <is>
          <t>ok</t>
        </is>
      </c>
      <c r="S2" s="18" t="n">
        <v>0.667</v>
      </c>
      <c r="T2" s="12" t="n">
        <v>81</v>
      </c>
      <c r="U2" s="19" t="n">
        <v>0.0135</v>
      </c>
      <c r="V2" s="19" t="n">
        <v>-0.0173</v>
      </c>
      <c r="W2" s="12" t="n">
        <v>1</v>
      </c>
      <c r="X2" s="6" t="inlineStr">
        <is>
          <t>ok</t>
        </is>
      </c>
      <c r="Y2" s="19" t="n">
        <v>0.0005999999999999999</v>
      </c>
      <c r="Z2" s="6" t="inlineStr">
        <is>
          <t>ok</t>
        </is>
      </c>
      <c r="AA2" s="12" t="n">
        <v>100</v>
      </c>
      <c r="AB2" s="15" t="n"/>
      <c r="AC2" s="6" t="inlineStr">
        <is>
          <t>ok</t>
        </is>
      </c>
      <c r="AD2" s="6" t="inlineStr">
        <is>
          <t>up</t>
        </is>
      </c>
      <c r="AE2" s="17" t="n">
        <v>704.5304</v>
      </c>
      <c r="AF2" s="17" t="n">
        <v>679.4169000000001</v>
      </c>
      <c r="AG2" s="17" t="n">
        <v>729.644</v>
      </c>
      <c r="AH2" s="20" t="n">
        <v>46329</v>
      </c>
      <c r="AI2" s="18" t="n">
        <v>0.54</v>
      </c>
      <c r="AJ2" s="6" t="inlineStr">
        <is>
          <t>ok</t>
        </is>
      </c>
      <c r="AK2" s="12" t="n">
        <v>1</v>
      </c>
      <c r="AL2" s="15" t="inlineStr">
        <is>
          <t>Thermo Fisher Scientific Experts to Host Webinar on Clario Endpoint Data Solutions</t>
        </is>
      </c>
      <c r="AM2" s="17" t="n">
        <v>694.485</v>
      </c>
      <c r="AN2" s="19" t="n">
        <v>0.0141</v>
      </c>
      <c r="AO2" s="17" t="n">
        <v>100000</v>
      </c>
      <c r="AP2" s="17" t="n">
        <v>100000</v>
      </c>
      <c r="AQ2" s="19" t="n">
        <v>0.0833</v>
      </c>
      <c r="AR2" s="16" t="n"/>
      <c r="AS2" s="17" t="n"/>
      <c r="AT2" s="19" t="n"/>
      <c r="AU2" s="6" t="inlineStr">
        <is>
          <t>paper</t>
        </is>
      </c>
      <c r="AV2" s="6" t="inlineStr">
        <is>
          <t>a17cede0-0466-4ec2-b2e1-ee5ddd1134cf</t>
        </is>
      </c>
      <c r="AW2" s="6" t="inlineStr">
        <is>
          <t>tdagent-buy-TMO-1793117490105</t>
        </is>
      </c>
      <c r="AX2" s="13" t="n">
        <v>46322.67465277778</v>
      </c>
      <c r="AY2" s="13" t="n">
        <v>46322.67466435185</v>
      </c>
      <c r="AZ2" s="13" t="n">
        <v>46322.67446759259</v>
      </c>
      <c r="BA2" s="6" t="n"/>
    </row>
    <row r="3">
      <c r="A3" s="12" t="n">
        <v>2</v>
      </c>
      <c r="B3" s="13" t="n">
        <v>46322.79560185185</v>
      </c>
      <c r="C3" s="13" t="n">
        <v>46322.58726851852</v>
      </c>
      <c r="D3" s="13" t="n">
        <v>46322.75393518519</v>
      </c>
      <c r="E3" s="14" t="inlineStr">
        <is>
          <t>BUY</t>
        </is>
      </c>
      <c r="F3" s="6" t="inlineStr">
        <is>
          <t>SHEL</t>
        </is>
      </c>
      <c r="G3" s="15" t="inlineStr">
        <is>
          <t>Shell plc American Depositary Shares (Each represents two Ordinary shares)</t>
        </is>
      </c>
      <c r="H3" s="6" t="inlineStr">
        <is>
          <t>NYSE</t>
        </is>
      </c>
      <c r="I3" s="6" t="inlineStr">
        <is>
          <t>filled</t>
        </is>
      </c>
      <c r="J3" s="16" t="n">
        <v>79.41675402600001</v>
      </c>
      <c r="K3" s="17" t="n">
        <v>104.93</v>
      </c>
      <c r="L3" s="17">
        <f>IF(AND(ISNUMBER(J3),ISNUMBER(K3)),J3*K3,"")</f>
        <v/>
      </c>
      <c r="M3" s="17" t="n">
        <v>8333.209999999999</v>
      </c>
      <c r="N3" s="16" t="n"/>
      <c r="O3" s="6" t="inlineStr">
        <is>
          <t>4+/5 green</t>
        </is>
      </c>
      <c r="P3" s="15" t="inlineStr">
        <is>
          <t>5 of 5 green, time machine green, rank #1, 8.33% of the $100,038.60 account</t>
        </is>
      </c>
      <c r="Q3" s="12" t="n">
        <v>5</v>
      </c>
      <c r="R3" s="6" t="inlineStr">
        <is>
          <t>ok</t>
        </is>
      </c>
      <c r="S3" s="18" t="n">
        <v>0.652</v>
      </c>
      <c r="T3" s="12" t="n">
        <v>92</v>
      </c>
      <c r="U3" s="19" t="n">
        <v>0.0121</v>
      </c>
      <c r="V3" s="19" t="n">
        <v>-0.0173</v>
      </c>
      <c r="W3" s="12" t="n">
        <v>1</v>
      </c>
      <c r="X3" s="6" t="inlineStr">
        <is>
          <t>ok</t>
        </is>
      </c>
      <c r="Y3" s="19" t="n">
        <v>0</v>
      </c>
      <c r="Z3" s="6" t="inlineStr">
        <is>
          <t>ok</t>
        </is>
      </c>
      <c r="AA3" s="12" t="n">
        <v>100</v>
      </c>
      <c r="AB3" s="15" t="n"/>
      <c r="AC3" s="6" t="inlineStr">
        <is>
          <t>ok</t>
        </is>
      </c>
      <c r="AD3" s="6" t="inlineStr">
        <is>
          <t>up</t>
        </is>
      </c>
      <c r="AE3" s="17" t="n">
        <v>106.142</v>
      </c>
      <c r="AF3" s="17" t="n">
        <v>103.062</v>
      </c>
      <c r="AG3" s="17" t="n">
        <v>109.222</v>
      </c>
      <c r="AH3" s="20" t="n">
        <v>46329</v>
      </c>
      <c r="AI3" s="18" t="n">
        <v>0.58</v>
      </c>
      <c r="AJ3" s="6" t="inlineStr">
        <is>
          <t>ok</t>
        </is>
      </c>
      <c r="AK3" s="12" t="n">
        <v>3</v>
      </c>
      <c r="AL3" s="15" t="inlineStr">
        <is>
          <t>Shell plc Announces Share Buyback Transaction</t>
        </is>
      </c>
      <c r="AM3" s="17" t="n">
        <v>104.91</v>
      </c>
      <c r="AN3" s="19" t="n">
        <v>-0.0187</v>
      </c>
      <c r="AO3" s="17" t="n">
        <v>100038.6</v>
      </c>
      <c r="AP3" s="17" t="n">
        <v>91670.00999999999</v>
      </c>
      <c r="AQ3" s="19" t="n">
        <v>0.0833</v>
      </c>
      <c r="AR3" s="16" t="n"/>
      <c r="AS3" s="17" t="n"/>
      <c r="AT3" s="19" t="n"/>
      <c r="AU3" s="6" t="inlineStr">
        <is>
          <t>paper</t>
        </is>
      </c>
      <c r="AV3" s="6" t="inlineStr">
        <is>
          <t>12db7300-b65a-4371-a182-4bcc07ceda77</t>
        </is>
      </c>
      <c r="AW3" s="6" t="inlineStr">
        <is>
          <t>tdagent-buy-SHEL-1793124338749</t>
        </is>
      </c>
      <c r="AX3" s="13" t="n">
        <v>46322.75391203703</v>
      </c>
      <c r="AY3" s="13" t="n">
        <v>46322.75393518519</v>
      </c>
      <c r="AZ3" s="13" t="n">
        <v>46322.75368055556</v>
      </c>
      <c r="BA3" s="6" t="n"/>
    </row>
    <row r="4">
      <c r="A4" s="12" t="n">
        <v>3</v>
      </c>
      <c r="B4" s="13" t="n">
        <v>46322.8678125</v>
      </c>
      <c r="C4" s="13" t="n">
        <v>46322.65947916666</v>
      </c>
      <c r="D4" s="13" t="n">
        <v>46322.82614583334</v>
      </c>
      <c r="E4" s="21" t="inlineStr">
        <is>
          <t>SELL</t>
        </is>
      </c>
      <c r="F4" s="6" t="inlineStr">
        <is>
          <t>SHEL</t>
        </is>
      </c>
      <c r="G4" s="15" t="inlineStr">
        <is>
          <t>SHEL</t>
        </is>
      </c>
      <c r="H4" s="6" t="inlineStr">
        <is>
          <t>NYSE</t>
        </is>
      </c>
      <c r="I4" s="6" t="inlineStr">
        <is>
          <t>filled</t>
        </is>
      </c>
      <c r="J4" s="16" t="n">
        <v>79.41675402600001</v>
      </c>
      <c r="K4" s="17" t="n">
        <v>104.96</v>
      </c>
      <c r="L4" s="17">
        <f>IF(AND(ISNUMBER(J4),ISNUMBER(K4)),J4*K4,"")</f>
        <v/>
      </c>
      <c r="M4" s="17" t="n"/>
      <c r="N4" s="16" t="n">
        <v>79.41675402600001</v>
      </c>
      <c r="O4" s="6" t="inlineStr">
        <is>
          <t>evening under 5%</t>
        </is>
      </c>
      <c r="P4" s="15" t="inlineStr">
        <is>
          <t>Evening: +0.0% from the buy price (under +5%), sold 10 min before the close</t>
        </is>
      </c>
      <c r="Q4" s="12" t="n">
        <v>5</v>
      </c>
      <c r="R4" s="6" t="inlineStr">
        <is>
          <t>ok</t>
        </is>
      </c>
      <c r="S4" s="18" t="n">
        <v>0.652</v>
      </c>
      <c r="T4" s="12" t="n">
        <v>92</v>
      </c>
      <c r="U4" s="19" t="n">
        <v>0.0121</v>
      </c>
      <c r="V4" s="19" t="n">
        <v>-0.1111</v>
      </c>
      <c r="W4" s="12" t="n"/>
      <c r="X4" s="6" t="inlineStr">
        <is>
          <t>ok</t>
        </is>
      </c>
      <c r="Y4" s="19" t="n">
        <v>0.0001</v>
      </c>
      <c r="Z4" s="6" t="inlineStr">
        <is>
          <t>ok</t>
        </is>
      </c>
      <c r="AA4" s="12" t="n">
        <v>100</v>
      </c>
      <c r="AB4" s="15" t="n"/>
      <c r="AC4" s="6" t="inlineStr">
        <is>
          <t>ok</t>
        </is>
      </c>
      <c r="AD4" s="6" t="inlineStr">
        <is>
          <t>up</t>
        </is>
      </c>
      <c r="AE4" s="17" t="n">
        <v>106.1815</v>
      </c>
      <c r="AF4" s="17" t="n">
        <v>103.1027</v>
      </c>
      <c r="AG4" s="17" t="n">
        <v>109.2604</v>
      </c>
      <c r="AH4" s="20" t="n">
        <v>46329</v>
      </c>
      <c r="AI4" s="18" t="n">
        <v>0.58</v>
      </c>
      <c r="AJ4" s="6" t="inlineStr">
        <is>
          <t>ok</t>
        </is>
      </c>
      <c r="AK4" s="12" t="n">
        <v>5</v>
      </c>
      <c r="AL4" s="15" t="inlineStr">
        <is>
          <t>'Washington discusses Russian deals for US oil majors in Ukraine peace talks' - Financial Times</t>
        </is>
      </c>
      <c r="AM4" s="17" t="n">
        <v>104.94</v>
      </c>
      <c r="AN4" s="19" t="n">
        <v>-0.0183</v>
      </c>
      <c r="AO4" s="17" t="n">
        <v>100056.57</v>
      </c>
      <c r="AP4" s="17" t="n">
        <v>83336.81</v>
      </c>
      <c r="AQ4" s="19" t="n">
        <v>0.0833</v>
      </c>
      <c r="AR4" s="16" t="n">
        <v>79.41675402600001</v>
      </c>
      <c r="AS4" s="17" t="n">
        <v>104.93</v>
      </c>
      <c r="AT4" s="19" t="n">
        <v>0.0003</v>
      </c>
      <c r="AU4" s="6" t="inlineStr">
        <is>
          <t>paper</t>
        </is>
      </c>
      <c r="AV4" s="6" t="inlineStr">
        <is>
          <t>be781221-5b78-4809-97c9-dde0425348d5</t>
        </is>
      </c>
      <c r="AW4" s="6" t="inlineStr">
        <is>
          <t>tdagent-sell-SHEL-1793130578234</t>
        </is>
      </c>
      <c r="AX4" s="13" t="n">
        <v>46322.82613425926</v>
      </c>
      <c r="AY4" s="13" t="n">
        <v>46322.82614583334</v>
      </c>
      <c r="AZ4" s="13" t="n">
        <v>46322.8253587963</v>
      </c>
      <c r="BA4" s="6" t="n"/>
    </row>
    <row r="5">
      <c r="A5" s="12" t="n">
        <v>4</v>
      </c>
      <c r="B5" s="13" t="n">
        <v>46322.86784722222</v>
      </c>
      <c r="C5" s="13" t="n">
        <v>46322.65951388889</v>
      </c>
      <c r="D5" s="13" t="n">
        <v>46322.82618055555</v>
      </c>
      <c r="E5" s="21" t="inlineStr">
        <is>
          <t>SELL</t>
        </is>
      </c>
      <c r="F5" s="6" t="inlineStr">
        <is>
          <t>TMO</t>
        </is>
      </c>
      <c r="G5" s="15" t="inlineStr">
        <is>
          <t>TMO</t>
        </is>
      </c>
      <c r="H5" s="6" t="inlineStr">
        <is>
          <t>NYSE</t>
        </is>
      </c>
      <c r="I5" s="6" t="inlineStr">
        <is>
          <t>filled</t>
        </is>
      </c>
      <c r="J5" s="16" t="n">
        <v>11.986804426</v>
      </c>
      <c r="K5" s="17" t="n">
        <v>699.1666739999999</v>
      </c>
      <c r="L5" s="17">
        <f>IF(AND(ISNUMBER(J5),ISNUMBER(K5)),J5*K5,"")</f>
        <v/>
      </c>
      <c r="M5" s="17" t="n"/>
      <c r="N5" s="16" t="n">
        <v>11.986804426</v>
      </c>
      <c r="O5" s="6" t="inlineStr">
        <is>
          <t>evening under 5%</t>
        </is>
      </c>
      <c r="P5" s="15" t="inlineStr">
        <is>
          <t>Evening: +0.6% from the buy price (under +5%), sold 10 min before the close</t>
        </is>
      </c>
      <c r="Q5" s="12" t="n">
        <v>5</v>
      </c>
      <c r="R5" s="6" t="inlineStr">
        <is>
          <t>ok</t>
        </is>
      </c>
      <c r="S5" s="18" t="n">
        <v>0.667</v>
      </c>
      <c r="T5" s="12" t="n">
        <v>81</v>
      </c>
      <c r="U5" s="19" t="n">
        <v>0.0135</v>
      </c>
      <c r="V5" s="19" t="n">
        <v>-0.1111</v>
      </c>
      <c r="W5" s="12" t="n"/>
      <c r="X5" s="6" t="inlineStr">
        <is>
          <t>ok</t>
        </is>
      </c>
      <c r="Y5" s="19" t="n">
        <v>0.0007000000000000001</v>
      </c>
      <c r="Z5" s="6" t="inlineStr">
        <is>
          <t>ok</t>
        </is>
      </c>
      <c r="AA5" s="12" t="n">
        <v>100</v>
      </c>
      <c r="AB5" s="15" t="n"/>
      <c r="AC5" s="6" t="inlineStr">
        <is>
          <t>ok</t>
        </is>
      </c>
      <c r="AD5" s="6" t="inlineStr">
        <is>
          <t>up</t>
        </is>
      </c>
      <c r="AE5" s="17" t="n">
        <v>710.0776</v>
      </c>
      <c r="AF5" s="17" t="n">
        <v>684.5837</v>
      </c>
      <c r="AG5" s="17" t="n">
        <v>735.5715</v>
      </c>
      <c r="AH5" s="20" t="n">
        <v>46329</v>
      </c>
      <c r="AI5" s="18" t="n">
        <v>0.54</v>
      </c>
      <c r="AJ5" s="6" t="inlineStr">
        <is>
          <t>ok</t>
        </is>
      </c>
      <c r="AK5" s="12" t="n">
        <v>1</v>
      </c>
      <c r="AL5" s="15" t="inlineStr">
        <is>
          <t>Thermo Fisher Scientific Experts to Host Webinar on Clario Endpoint Data Solutions</t>
        </is>
      </c>
      <c r="AM5" s="17" t="n">
        <v>699.8</v>
      </c>
      <c r="AN5" s="19" t="n">
        <v>0.022</v>
      </c>
      <c r="AO5" s="17" t="n">
        <v>100056.57</v>
      </c>
      <c r="AP5" s="17" t="n">
        <v>83336.81</v>
      </c>
      <c r="AQ5" s="19" t="n">
        <v>0.0833</v>
      </c>
      <c r="AR5" s="16" t="n">
        <v>11.986804426</v>
      </c>
      <c r="AS5" s="17" t="n">
        <v>694.9299999999999</v>
      </c>
      <c r="AT5" s="19" t="n">
        <v>0.006500000000000001</v>
      </c>
      <c r="AU5" s="6" t="inlineStr">
        <is>
          <t>paper</t>
        </is>
      </c>
      <c r="AV5" s="6" t="inlineStr">
        <is>
          <t>3df9c111-1586-40fd-a37a-ab0a53ccf9d7</t>
        </is>
      </c>
      <c r="AW5" s="6" t="inlineStr">
        <is>
          <t>tdagent-sell-TMO-1793130578875</t>
        </is>
      </c>
      <c r="AX5" s="13" t="n">
        <v>46322.82613425926</v>
      </c>
      <c r="AY5" s="13" t="n">
        <v>46322.82618055555</v>
      </c>
      <c r="AZ5" s="13" t="n">
        <v>46322.8253587963</v>
      </c>
      <c r="BA5" s="6" t="n"/>
    </row>
    <row r="6">
      <c r="A6" s="12" t="n">
        <v>5</v>
      </c>
      <c r="B6" s="13" t="n">
        <v>46323.60681712963</v>
      </c>
      <c r="C6" s="13" t="n">
        <v>46323.3984837963</v>
      </c>
      <c r="D6" s="13" t="n">
        <v>46323.56515046296</v>
      </c>
      <c r="E6" s="14" t="inlineStr">
        <is>
          <t>BUY</t>
        </is>
      </c>
      <c r="F6" s="6" t="inlineStr">
        <is>
          <t>TMO</t>
        </is>
      </c>
      <c r="G6" s="15" t="inlineStr">
        <is>
          <t>Thermo Fisher Scientific, Inc.</t>
        </is>
      </c>
      <c r="H6" s="6" t="inlineStr">
        <is>
          <t>NYSE</t>
        </is>
      </c>
      <c r="I6" s="6" t="inlineStr">
        <is>
          <t>filled</t>
        </is>
      </c>
      <c r="J6" s="16" t="n">
        <v>11.937064238</v>
      </c>
      <c r="K6" s="17" t="n">
        <v>698.193445</v>
      </c>
      <c r="L6" s="17">
        <f>IF(AND(ISNUMBER(J6),ISNUMBER(K6)),J6*K6,"")</f>
        <v/>
      </c>
      <c r="M6" s="17" t="n">
        <v>8334.389999999999</v>
      </c>
      <c r="N6" s="16" t="n"/>
      <c r="O6" s="6" t="inlineStr">
        <is>
          <t>4+/5 green</t>
        </is>
      </c>
      <c r="P6" s="15" t="inlineStr">
        <is>
          <t>5 of 5 green, time machine green, rank #1, 8.33% of the $100,052.80 account</t>
        </is>
      </c>
      <c r="Q6" s="12" t="n">
        <v>5</v>
      </c>
      <c r="R6" s="6" t="inlineStr">
        <is>
          <t>ok</t>
        </is>
      </c>
      <c r="S6" s="18" t="n">
        <v>0.667</v>
      </c>
      <c r="T6" s="12" t="n">
        <v>81</v>
      </c>
      <c r="U6" s="19" t="n">
        <v>0.0134</v>
      </c>
      <c r="V6" s="19" t="n">
        <v>-0.1111</v>
      </c>
      <c r="W6" s="12" t="n">
        <v>1</v>
      </c>
      <c r="X6" s="6" t="inlineStr">
        <is>
          <t>ok</t>
        </is>
      </c>
      <c r="Y6" s="19" t="n">
        <v>0.001</v>
      </c>
      <c r="Z6" s="6" t="inlineStr">
        <is>
          <t>ok</t>
        </is>
      </c>
      <c r="AA6" s="12" t="n">
        <v>100</v>
      </c>
      <c r="AB6" s="15" t="n"/>
      <c r="AC6" s="6" t="inlineStr">
        <is>
          <t>ok</t>
        </is>
      </c>
      <c r="AD6" s="6" t="inlineStr">
        <is>
          <t>up</t>
        </is>
      </c>
      <c r="AE6" s="17" t="n">
        <v>703.0821</v>
      </c>
      <c r="AF6" s="17" t="n">
        <v>678.0519</v>
      </c>
      <c r="AG6" s="17" t="n">
        <v>728.1123</v>
      </c>
      <c r="AH6" s="20" t="n">
        <v>46330</v>
      </c>
      <c r="AI6" s="18" t="n">
        <v>0.54</v>
      </c>
      <c r="AJ6" s="6" t="inlineStr">
        <is>
          <t>ok</t>
        </is>
      </c>
      <c r="AK6" s="12" t="n">
        <v>1</v>
      </c>
      <c r="AL6" s="15" t="inlineStr">
        <is>
          <t>Thermo Fisher Scientific Experts to Host Webinar on Clario Endpoint Data Solutions</t>
        </is>
      </c>
      <c r="AM6" s="17" t="n">
        <v>692.41</v>
      </c>
      <c r="AN6" s="19" t="n">
        <v>0.012</v>
      </c>
      <c r="AO6" s="17" t="n">
        <v>100052.8</v>
      </c>
      <c r="AP6" s="17" t="n">
        <v>100052.8</v>
      </c>
      <c r="AQ6" s="19" t="n">
        <v>0.0833</v>
      </c>
      <c r="AR6" s="16" t="n"/>
      <c r="AS6" s="17" t="n"/>
      <c r="AT6" s="19" t="n"/>
      <c r="AU6" s="6" t="inlineStr">
        <is>
          <t>paper</t>
        </is>
      </c>
      <c r="AV6" s="6" t="inlineStr">
        <is>
          <t>75ff6654-caa0-43af-a8e3-46fa207bc64a</t>
        </is>
      </c>
      <c r="AW6" s="6" t="inlineStr">
        <is>
          <t>tdagent-buy-TMO-1793194262152</t>
        </is>
      </c>
      <c r="AX6" s="13" t="n">
        <v>46323.56321759259</v>
      </c>
      <c r="AY6" s="13" t="n">
        <v>46323.56515046296</v>
      </c>
      <c r="AZ6" s="13" t="n">
        <v>46323.56269675926</v>
      </c>
      <c r="BA6" s="6" t="n"/>
    </row>
    <row r="7">
      <c r="A7" s="12" t="n">
        <v>6</v>
      </c>
      <c r="B7" s="13" t="n">
        <v>46323.60652777777</v>
      </c>
      <c r="C7" s="13" t="n">
        <v>46323.39819444445</v>
      </c>
      <c r="D7" s="13" t="n">
        <v>46323.56486111111</v>
      </c>
      <c r="E7" s="14" t="inlineStr">
        <is>
          <t>BUY</t>
        </is>
      </c>
      <c r="F7" s="6" t="inlineStr">
        <is>
          <t>DT</t>
        </is>
      </c>
      <c r="G7" s="15" t="inlineStr">
        <is>
          <t>Dynatrace, Inc.</t>
        </is>
      </c>
      <c r="H7" s="6" t="inlineStr">
        <is>
          <t>NYSE</t>
        </is>
      </c>
      <c r="I7" s="6" t="inlineStr">
        <is>
          <t>filled</t>
        </is>
      </c>
      <c r="J7" s="16" t="n">
        <v>130.2953125</v>
      </c>
      <c r="K7" s="17" t="n">
        <v>63.965309</v>
      </c>
      <c r="L7" s="17">
        <f>IF(AND(ISNUMBER(J7),ISNUMBER(K7)),J7*K7,"")</f>
        <v/>
      </c>
      <c r="M7" s="17" t="n">
        <v>8334.389999999999</v>
      </c>
      <c r="N7" s="16" t="n"/>
      <c r="O7" s="6" t="inlineStr">
        <is>
          <t>4+/5 green</t>
        </is>
      </c>
      <c r="P7" s="15" t="inlineStr">
        <is>
          <t>5 of 5 green, time machine green, rank #2, 8.33% of the $100,052.80 account</t>
        </is>
      </c>
      <c r="Q7" s="12" t="n">
        <v>5</v>
      </c>
      <c r="R7" s="6" t="inlineStr">
        <is>
          <t>ok</t>
        </is>
      </c>
      <c r="S7" s="18" t="n">
        <v>0.647</v>
      </c>
      <c r="T7" s="12" t="n">
        <v>51</v>
      </c>
      <c r="U7" s="19" t="n">
        <v>0.0133</v>
      </c>
      <c r="V7" s="19" t="n">
        <v>-0.1111</v>
      </c>
      <c r="W7" s="12" t="n">
        <v>2</v>
      </c>
      <c r="X7" s="6" t="inlineStr">
        <is>
          <t>ok</t>
        </is>
      </c>
      <c r="Y7" s="19" t="n">
        <v>0.0058</v>
      </c>
      <c r="Z7" s="6" t="inlineStr">
        <is>
          <t>ok</t>
        </is>
      </c>
      <c r="AA7" s="12" t="n">
        <v>100</v>
      </c>
      <c r="AB7" s="15" t="n"/>
      <c r="AC7" s="6" t="inlineStr">
        <is>
          <t>ok</t>
        </is>
      </c>
      <c r="AD7" s="6" t="inlineStr">
        <is>
          <t>up</t>
        </is>
      </c>
      <c r="AE7" s="17" t="n">
        <v>65.2238</v>
      </c>
      <c r="AF7" s="17" t="n">
        <v>61.5643</v>
      </c>
      <c r="AG7" s="17" t="n">
        <v>68.8832</v>
      </c>
      <c r="AH7" s="20" t="n">
        <v>46330</v>
      </c>
      <c r="AI7" s="18" t="n">
        <v>0.55</v>
      </c>
      <c r="AJ7" s="6" t="inlineStr">
        <is>
          <t>ok</t>
        </is>
      </c>
      <c r="AK7" s="12" t="n">
        <v>3</v>
      </c>
      <c r="AL7" s="15" t="inlineStr">
        <is>
          <t>Analyst Raises Price Target for Dynatrace</t>
        </is>
      </c>
      <c r="AM7" s="17" t="n">
        <v>63.39</v>
      </c>
      <c r="AN7" s="19" t="n">
        <v>-0.006500000000000001</v>
      </c>
      <c r="AO7" s="17" t="n">
        <v>100052.8</v>
      </c>
      <c r="AP7" s="17" t="n">
        <v>100052.8</v>
      </c>
      <c r="AQ7" s="19" t="n">
        <v>0.0833</v>
      </c>
      <c r="AR7" s="16" t="n"/>
      <c r="AS7" s="17" t="n"/>
      <c r="AT7" s="19" t="n"/>
      <c r="AU7" s="6" t="inlineStr">
        <is>
          <t>paper</t>
        </is>
      </c>
      <c r="AV7" s="6" t="inlineStr">
        <is>
          <t>ea46df9e-798f-47b6-8f79-15985b1f21c1</t>
        </is>
      </c>
      <c r="AW7" s="6" t="inlineStr">
        <is>
          <t>tdagent-buy-DT-1793194262796</t>
        </is>
      </c>
      <c r="AX7" s="13" t="n">
        <v>46323.56321759259</v>
      </c>
      <c r="AY7" s="13" t="n">
        <v>46323.56486111111</v>
      </c>
      <c r="AZ7" s="13" t="n">
        <v>46323.56269675926</v>
      </c>
      <c r="BA7" s="6" t="n"/>
    </row>
    <row r="8">
      <c r="A8" s="12" t="n">
        <v>7</v>
      </c>
      <c r="B8" s="13" t="n">
        <v>46323.60728009259</v>
      </c>
      <c r="C8" s="13" t="n">
        <v>46323.39894675926</v>
      </c>
      <c r="D8" s="13" t="n">
        <v>46323.56561342593</v>
      </c>
      <c r="E8" s="14" t="inlineStr">
        <is>
          <t>BUY</t>
        </is>
      </c>
      <c r="F8" s="6" t="inlineStr">
        <is>
          <t>MNST</t>
        </is>
      </c>
      <c r="G8" s="15" t="inlineStr">
        <is>
          <t>Monster Beverage Corporation</t>
        </is>
      </c>
      <c r="H8" s="6" t="inlineStr">
        <is>
          <t>NASDAQ</t>
        </is>
      </c>
      <c r="I8" s="6" t="inlineStr">
        <is>
          <t>filled</t>
        </is>
      </c>
      <c r="J8" s="16" t="n">
        <v>184.54038504</v>
      </c>
      <c r="K8" s="17" t="n">
        <v>45.162906</v>
      </c>
      <c r="L8" s="17">
        <f>IF(AND(ISNUMBER(J8),ISNUMBER(K8)),J8*K8,"")</f>
        <v/>
      </c>
      <c r="M8" s="17" t="n">
        <v>8334.389999999999</v>
      </c>
      <c r="N8" s="16" t="n"/>
      <c r="O8" s="6" t="inlineStr">
        <is>
          <t>4+/5 green</t>
        </is>
      </c>
      <c r="P8" s="15" t="inlineStr">
        <is>
          <t>5 of 5 green, time machine green, rank #3, 8.33% of the $100,052.80 account</t>
        </is>
      </c>
      <c r="Q8" s="12" t="n">
        <v>5</v>
      </c>
      <c r="R8" s="6" t="inlineStr">
        <is>
          <t>ok</t>
        </is>
      </c>
      <c r="S8" s="18" t="n">
        <v>0.652</v>
      </c>
      <c r="T8" s="12" t="n">
        <v>89</v>
      </c>
      <c r="U8" s="19" t="n">
        <v>0.0089</v>
      </c>
      <c r="V8" s="19" t="n">
        <v>-0.1111</v>
      </c>
      <c r="W8" s="12" t="n">
        <v>3</v>
      </c>
      <c r="X8" s="6" t="inlineStr">
        <is>
          <t>ok</t>
        </is>
      </c>
      <c r="Y8" s="19" t="n">
        <v>0.0071</v>
      </c>
      <c r="Z8" s="6" t="inlineStr">
        <is>
          <t>ok</t>
        </is>
      </c>
      <c r="AA8" s="12" t="n">
        <v>100</v>
      </c>
      <c r="AB8" s="15" t="n"/>
      <c r="AC8" s="6" t="inlineStr">
        <is>
          <t>ok</t>
        </is>
      </c>
      <c r="AD8" s="6" t="inlineStr">
        <is>
          <t>up</t>
        </is>
      </c>
      <c r="AE8" s="17" t="n">
        <v>46.063</v>
      </c>
      <c r="AF8" s="17" t="n">
        <v>44.4805</v>
      </c>
      <c r="AG8" s="17" t="n">
        <v>47.6454</v>
      </c>
      <c r="AH8" s="20" t="n">
        <v>46330</v>
      </c>
      <c r="AI8" s="18" t="n">
        <v>0.53</v>
      </c>
      <c r="AJ8" s="6" t="inlineStr">
        <is>
          <t>ok</t>
        </is>
      </c>
      <c r="AK8" s="12" t="n">
        <v>4</v>
      </c>
      <c r="AL8" s="15" t="inlineStr">
        <is>
          <t>JP Morgan Maintains Neutral on Monster Beverage, Lowers Price Target to $49</t>
        </is>
      </c>
      <c r="AM8" s="17" t="n">
        <v>45.11</v>
      </c>
      <c r="AN8" s="19" t="n">
        <v>-0.0219</v>
      </c>
      <c r="AO8" s="17" t="n">
        <v>100052.8</v>
      </c>
      <c r="AP8" s="17" t="n">
        <v>100052.8</v>
      </c>
      <c r="AQ8" s="19" t="n">
        <v>0.0833</v>
      </c>
      <c r="AR8" s="16" t="n"/>
      <c r="AS8" s="17" t="n"/>
      <c r="AT8" s="19" t="n"/>
      <c r="AU8" s="6" t="inlineStr">
        <is>
          <t>paper</t>
        </is>
      </c>
      <c r="AV8" s="6" t="inlineStr">
        <is>
          <t>1618d695-4afd-42f8-b0f6-9dbbedd13f56</t>
        </is>
      </c>
      <c r="AW8" s="6" t="inlineStr">
        <is>
          <t>tdagent-buy-MNST-1793194263216</t>
        </is>
      </c>
      <c r="AX8" s="13" t="n">
        <v>46323.56322916667</v>
      </c>
      <c r="AY8" s="13" t="n">
        <v>46323.56561342593</v>
      </c>
      <c r="AZ8" s="13" t="n">
        <v>46323.56269675926</v>
      </c>
      <c r="BA8" s="6" t="n"/>
    </row>
    <row r="9">
      <c r="A9" s="12" t="n">
        <v>8</v>
      </c>
      <c r="B9" s="13" t="n">
        <v>46323.60716435185</v>
      </c>
      <c r="C9" s="13" t="n">
        <v>46323.39883101852</v>
      </c>
      <c r="D9" s="13" t="n">
        <v>46323.56549768519</v>
      </c>
      <c r="E9" s="14" t="inlineStr">
        <is>
          <t>BUY</t>
        </is>
      </c>
      <c r="F9" s="6" t="inlineStr">
        <is>
          <t>CBOE</t>
        </is>
      </c>
      <c r="G9" s="15" t="inlineStr">
        <is>
          <t>Cboe Global Markets, Inc.</t>
        </is>
      </c>
      <c r="H9" s="6" t="inlineStr">
        <is>
          <t>BATS</t>
        </is>
      </c>
      <c r="I9" s="6" t="inlineStr">
        <is>
          <t>filled</t>
        </is>
      </c>
      <c r="J9" s="16" t="n">
        <v>25.834717916</v>
      </c>
      <c r="K9" s="17" t="n">
        <v>322.603871</v>
      </c>
      <c r="L9" s="17">
        <f>IF(AND(ISNUMBER(J9),ISNUMBER(K9)),J9*K9,"")</f>
        <v/>
      </c>
      <c r="M9" s="17" t="n">
        <v>8334.389999999999</v>
      </c>
      <c r="N9" s="16" t="n"/>
      <c r="O9" s="6" t="inlineStr">
        <is>
          <t>4+/5 green</t>
        </is>
      </c>
      <c r="P9" s="15" t="inlineStr">
        <is>
          <t>5 of 5 green, time machine green, rank #4, 8.33% of the $100,052.80 account</t>
        </is>
      </c>
      <c r="Q9" s="12" t="n">
        <v>5</v>
      </c>
      <c r="R9" s="6" t="inlineStr">
        <is>
          <t>ok</t>
        </is>
      </c>
      <c r="S9" s="18" t="n">
        <v>0.582</v>
      </c>
      <c r="T9" s="12" t="n">
        <v>67</v>
      </c>
      <c r="U9" s="19" t="n">
        <v>0.0026</v>
      </c>
      <c r="V9" s="19" t="n">
        <v>-0.1111</v>
      </c>
      <c r="W9" s="12" t="n">
        <v>4</v>
      </c>
      <c r="X9" s="6" t="inlineStr">
        <is>
          <t>ok</t>
        </is>
      </c>
      <c r="Y9" s="19" t="n">
        <v>0</v>
      </c>
      <c r="Z9" s="6" t="inlineStr">
        <is>
          <t>ok</t>
        </is>
      </c>
      <c r="AA9" s="12" t="n">
        <v>100</v>
      </c>
      <c r="AB9" s="15" t="n"/>
      <c r="AC9" s="6" t="inlineStr">
        <is>
          <t>ok</t>
        </is>
      </c>
      <c r="AD9" s="6" t="inlineStr">
        <is>
          <t>up</t>
        </is>
      </c>
      <c r="AE9" s="17" t="n">
        <v>331.8585</v>
      </c>
      <c r="AF9" s="17" t="n">
        <v>314.9122</v>
      </c>
      <c r="AG9" s="17" t="n">
        <v>348.8048</v>
      </c>
      <c r="AH9" s="20" t="n">
        <v>46330</v>
      </c>
      <c r="AI9" s="18" t="n">
        <v>0.57</v>
      </c>
      <c r="AJ9" s="6" t="inlineStr">
        <is>
          <t>ok</t>
        </is>
      </c>
      <c r="AK9" s="12" t="n">
        <v>3</v>
      </c>
      <c r="AL9" s="15" t="inlineStr">
        <is>
          <t>JPMorgan Adjusts Price Target on Cboe Global Markets to $332 From $288</t>
        </is>
      </c>
      <c r="AM9" s="17" t="n">
        <v>325.08</v>
      </c>
      <c r="AN9" s="19" t="n">
        <v>-0.0295</v>
      </c>
      <c r="AO9" s="17" t="n">
        <v>100052.8</v>
      </c>
      <c r="AP9" s="17" t="n">
        <v>100052.8</v>
      </c>
      <c r="AQ9" s="19" t="n">
        <v>0.0833</v>
      </c>
      <c r="AR9" s="16" t="n"/>
      <c r="AS9" s="17" t="n"/>
      <c r="AT9" s="19" t="n"/>
      <c r="AU9" s="6" t="inlineStr">
        <is>
          <t>paper</t>
        </is>
      </c>
      <c r="AV9" s="6" t="inlineStr">
        <is>
          <t>9bdcd091-8a94-4f6c-90f4-0dd5ee0bbaf3</t>
        </is>
      </c>
      <c r="AW9" s="6" t="inlineStr">
        <is>
          <t>tdagent-buy-CBOE-1793194263728</t>
        </is>
      </c>
      <c r="AX9" s="13" t="n">
        <v>46323.56322916667</v>
      </c>
      <c r="AY9" s="13" t="n">
        <v>46323.56549768519</v>
      </c>
      <c r="AZ9" s="13" t="n">
        <v>46323.56269675926</v>
      </c>
      <c r="BA9" s="6" t="n"/>
    </row>
    <row r="10">
      <c r="A10" s="12" t="n">
        <v>9</v>
      </c>
      <c r="B10" s="13" t="n">
        <v>46323.60681712963</v>
      </c>
      <c r="C10" s="13" t="n">
        <v>46323.3984837963</v>
      </c>
      <c r="D10" s="13" t="n">
        <v>46323.56515046296</v>
      </c>
      <c r="E10" s="14" t="inlineStr">
        <is>
          <t>BUY</t>
        </is>
      </c>
      <c r="F10" s="6" t="inlineStr">
        <is>
          <t>MCK</t>
        </is>
      </c>
      <c r="G10" s="15" t="inlineStr">
        <is>
          <t>McKesson Corporation</t>
        </is>
      </c>
      <c r="H10" s="6" t="inlineStr">
        <is>
          <t>NYSE</t>
        </is>
      </c>
      <c r="I10" s="6" t="inlineStr">
        <is>
          <t>filled</t>
        </is>
      </c>
      <c r="J10" s="16" t="n">
        <v>8.620135337000001</v>
      </c>
      <c r="K10" s="17" t="n">
        <v>966.85025</v>
      </c>
      <c r="L10" s="17">
        <f>IF(AND(ISNUMBER(J10),ISNUMBER(K10)),J10*K10,"")</f>
        <v/>
      </c>
      <c r="M10" s="17" t="n">
        <v>8334.389999999999</v>
      </c>
      <c r="N10" s="16" t="n"/>
      <c r="O10" s="6" t="inlineStr">
        <is>
          <t>4+/5 green</t>
        </is>
      </c>
      <c r="P10" s="15" t="inlineStr">
        <is>
          <t>5 of 5 green, time machine green, rank #5, 8.33% of the $100,052.80 account</t>
        </is>
      </c>
      <c r="Q10" s="12" t="n">
        <v>5</v>
      </c>
      <c r="R10" s="6" t="inlineStr">
        <is>
          <t>ok</t>
        </is>
      </c>
      <c r="S10" s="18" t="n">
        <v>0.588</v>
      </c>
      <c r="T10" s="12" t="n">
        <v>68</v>
      </c>
      <c r="U10" s="19" t="n">
        <v>0.0019</v>
      </c>
      <c r="V10" s="19" t="n">
        <v>-0.1111</v>
      </c>
      <c r="W10" s="12" t="n">
        <v>5</v>
      </c>
      <c r="X10" s="6" t="inlineStr">
        <is>
          <t>ok</t>
        </is>
      </c>
      <c r="Y10" s="19" t="n">
        <v>0</v>
      </c>
      <c r="Z10" s="6" t="inlineStr">
        <is>
          <t>ok</t>
        </is>
      </c>
      <c r="AA10" s="12" t="n">
        <v>100</v>
      </c>
      <c r="AB10" s="15" t="n"/>
      <c r="AC10" s="6" t="inlineStr">
        <is>
          <t>ok</t>
        </is>
      </c>
      <c r="AD10" s="6" t="inlineStr">
        <is>
          <t>up</t>
        </is>
      </c>
      <c r="AE10" s="17" t="n">
        <v>982.3085</v>
      </c>
      <c r="AF10" s="17" t="n">
        <v>943.6373</v>
      </c>
      <c r="AG10" s="17" t="n">
        <v>1020.9796</v>
      </c>
      <c r="AH10" s="20" t="n">
        <v>46330</v>
      </c>
      <c r="AI10" s="18" t="n">
        <v>0.5600000000000001</v>
      </c>
      <c r="AJ10" s="6" t="inlineStr">
        <is>
          <t>ok</t>
        </is>
      </c>
      <c r="AK10" s="12" t="n">
        <v>2</v>
      </c>
      <c r="AL10" s="15" t="inlineStr">
        <is>
          <t>Here's How Much $100 Invested In McKesson 5 Years Ago Would Be Worth Today</t>
        </is>
      </c>
      <c r="AM10" s="17" t="n">
        <v>966.84</v>
      </c>
      <c r="AN10" s="19" t="n">
        <v>-0.0255</v>
      </c>
      <c r="AO10" s="17" t="n">
        <v>100052.8</v>
      </c>
      <c r="AP10" s="17" t="n">
        <v>100052.8</v>
      </c>
      <c r="AQ10" s="19" t="n">
        <v>0.0833</v>
      </c>
      <c r="AR10" s="16" t="n"/>
      <c r="AS10" s="17" t="n"/>
      <c r="AT10" s="19" t="n"/>
      <c r="AU10" s="6" t="inlineStr">
        <is>
          <t>paper</t>
        </is>
      </c>
      <c r="AV10" s="6" t="inlineStr">
        <is>
          <t>6189b904-77fc-4fcf-b41f-bde0ff4f39db</t>
        </is>
      </c>
      <c r="AW10" s="6" t="inlineStr">
        <is>
          <t>tdagent-buy-MCK-1793194264162</t>
        </is>
      </c>
      <c r="AX10" s="13" t="n">
        <v>46323.56324074074</v>
      </c>
      <c r="AY10" s="13" t="n">
        <v>46323.56515046296</v>
      </c>
      <c r="AZ10" s="13" t="n">
        <v>46323.56269675926</v>
      </c>
      <c r="BA10" s="6" t="n"/>
    </row>
    <row r="11">
      <c r="A11" s="12" t="n">
        <v>10</v>
      </c>
      <c r="B11" s="13" t="n">
        <v>46323.6061574074</v>
      </c>
      <c r="C11" s="13" t="n">
        <v>46323.39782407408</v>
      </c>
      <c r="D11" s="13" t="n">
        <v>46323.56449074074</v>
      </c>
      <c r="E11" s="14" t="inlineStr">
        <is>
          <t>BUY</t>
        </is>
      </c>
      <c r="F11" s="6" t="inlineStr">
        <is>
          <t>SHEL</t>
        </is>
      </c>
      <c r="G11" s="15" t="inlineStr">
        <is>
          <t>Shell plc American Depositary Shares (Each represents two Ordinary shares)</t>
        </is>
      </c>
      <c r="H11" s="6" t="inlineStr">
        <is>
          <t>NYSE</t>
        </is>
      </c>
      <c r="I11" s="6" t="inlineStr">
        <is>
          <t>filled</t>
        </is>
      </c>
      <c r="J11" s="16" t="n">
        <v>79.375047619</v>
      </c>
      <c r="K11" s="17" t="n">
        <v>105</v>
      </c>
      <c r="L11" s="17">
        <f>IF(AND(ISNUMBER(J11),ISNUMBER(K11)),J11*K11,"")</f>
        <v/>
      </c>
      <c r="M11" s="17" t="n">
        <v>8334.389999999999</v>
      </c>
      <c r="N11" s="16" t="n"/>
      <c r="O11" s="6" t="inlineStr">
        <is>
          <t>4+/5 green</t>
        </is>
      </c>
      <c r="P11" s="15" t="inlineStr">
        <is>
          <t>4 of 5 green, time machine green, rank #6, 8.33% of the $100,052.80 account</t>
        </is>
      </c>
      <c r="Q11" s="12" t="n">
        <v>4</v>
      </c>
      <c r="R11" s="6" t="inlineStr">
        <is>
          <t>ok</t>
        </is>
      </c>
      <c r="S11" s="18" t="n">
        <v>0.659</v>
      </c>
      <c r="T11" s="12" t="n">
        <v>91</v>
      </c>
      <c r="U11" s="19" t="n">
        <v>0.0124</v>
      </c>
      <c r="V11" s="19" t="n">
        <v>-0.1111</v>
      </c>
      <c r="W11" s="12" t="n">
        <v>6</v>
      </c>
      <c r="X11" s="6" t="inlineStr">
        <is>
          <t>ok</t>
        </is>
      </c>
      <c r="Y11" s="19" t="n">
        <v>0.0025</v>
      </c>
      <c r="Z11" s="6" t="inlineStr">
        <is>
          <t>ok</t>
        </is>
      </c>
      <c r="AA11" s="12" t="n">
        <v>100</v>
      </c>
      <c r="AB11" s="15" t="n"/>
      <c r="AC11" s="6" t="inlineStr">
        <is>
          <t>ok</t>
        </is>
      </c>
      <c r="AD11" s="6" t="inlineStr">
        <is>
          <t>up</t>
        </is>
      </c>
      <c r="AE11" s="17" t="n">
        <v>106.0087</v>
      </c>
      <c r="AF11" s="17" t="n">
        <v>102.9244</v>
      </c>
      <c r="AG11" s="17" t="n">
        <v>109.093</v>
      </c>
      <c r="AH11" s="20" t="n">
        <v>46330</v>
      </c>
      <c r="AI11" s="18" t="n">
        <v>0.58</v>
      </c>
      <c r="AJ11" s="6" t="inlineStr">
        <is>
          <t>watch</t>
        </is>
      </c>
      <c r="AK11" s="12" t="n">
        <v>8</v>
      </c>
      <c r="AL11" s="15" t="inlineStr">
        <is>
          <t>'Washington discusses Russian deals for US oil majors in Ukraine peace talks' - Financial Times</t>
        </is>
      </c>
      <c r="AM11" s="17" t="n">
        <v>105.04</v>
      </c>
      <c r="AN11" s="19" t="n">
        <v>-0.02</v>
      </c>
      <c r="AO11" s="17" t="n">
        <v>100052.8</v>
      </c>
      <c r="AP11" s="17" t="n">
        <v>100052.8</v>
      </c>
      <c r="AQ11" s="19" t="n">
        <v>0.0833</v>
      </c>
      <c r="AR11" s="16" t="n"/>
      <c r="AS11" s="17" t="n"/>
      <c r="AT11" s="19" t="n"/>
      <c r="AU11" s="6" t="inlineStr">
        <is>
          <t>paper</t>
        </is>
      </c>
      <c r="AV11" s="6" t="inlineStr">
        <is>
          <t>f2c34f6c-bb0c-4e2b-a829-02bd8a0f636f</t>
        </is>
      </c>
      <c r="AW11" s="6" t="inlineStr">
        <is>
          <t>tdagent-buy-SHEL-1793194264666</t>
        </is>
      </c>
      <c r="AX11" s="13" t="n">
        <v>46323.56324074074</v>
      </c>
      <c r="AY11" s="13" t="n">
        <v>46323.56449074074</v>
      </c>
      <c r="AZ11" s="13" t="n">
        <v>46323.56269675926</v>
      </c>
      <c r="BA11" s="6" t="n"/>
    </row>
    <row r="12">
      <c r="A12" s="12" t="n">
        <v>11</v>
      </c>
      <c r="B12" s="13" t="n">
        <v>46323.60633101852</v>
      </c>
      <c r="C12" s="13" t="n">
        <v>46323.39799768518</v>
      </c>
      <c r="D12" s="13" t="n">
        <v>46323.56466435185</v>
      </c>
      <c r="E12" s="14" t="inlineStr">
        <is>
          <t>BUY</t>
        </is>
      </c>
      <c r="F12" s="6" t="inlineStr">
        <is>
          <t>ILMN</t>
        </is>
      </c>
      <c r="G12" s="15" t="inlineStr">
        <is>
          <t>Illumina, Inc. Common Stock</t>
        </is>
      </c>
      <c r="H12" s="6" t="inlineStr">
        <is>
          <t>NASDAQ</t>
        </is>
      </c>
      <c r="I12" s="6" t="inlineStr">
        <is>
          <t>filled</t>
        </is>
      </c>
      <c r="J12" s="16" t="n">
        <v>29.659715302</v>
      </c>
      <c r="K12" s="17" t="n">
        <v>281</v>
      </c>
      <c r="L12" s="17">
        <f>IF(AND(ISNUMBER(J12),ISNUMBER(K12)),J12*K12,"")</f>
        <v/>
      </c>
      <c r="M12" s="17" t="n">
        <v>8334.389999999999</v>
      </c>
      <c r="N12" s="16" t="n"/>
      <c r="O12" s="6" t="inlineStr">
        <is>
          <t>4+/5 green</t>
        </is>
      </c>
      <c r="P12" s="15" t="inlineStr">
        <is>
          <t>5 of 5 green, time machine green, rank #9, 8.33% of the $100,052.80 account</t>
        </is>
      </c>
      <c r="Q12" s="12" t="n">
        <v>5</v>
      </c>
      <c r="R12" s="6" t="inlineStr">
        <is>
          <t>ok</t>
        </is>
      </c>
      <c r="S12" s="18" t="n">
        <v>0.592</v>
      </c>
      <c r="T12" s="12" t="n">
        <v>125</v>
      </c>
      <c r="U12" s="19" t="n">
        <v>0.0155</v>
      </c>
      <c r="V12" s="19" t="n">
        <v>-0.1111</v>
      </c>
      <c r="W12" s="12" t="n">
        <v>9</v>
      </c>
      <c r="X12" s="6" t="inlineStr">
        <is>
          <t>ok</t>
        </is>
      </c>
      <c r="Y12" s="19" t="n">
        <v>0.0029</v>
      </c>
      <c r="Z12" s="6" t="inlineStr">
        <is>
          <t>ok</t>
        </is>
      </c>
      <c r="AA12" s="12" t="n">
        <v>100</v>
      </c>
      <c r="AB12" s="15" t="n"/>
      <c r="AC12" s="6" t="inlineStr">
        <is>
          <t>ok</t>
        </is>
      </c>
      <c r="AD12" s="6" t="inlineStr">
        <is>
          <t>up</t>
        </is>
      </c>
      <c r="AE12" s="17" t="n">
        <v>287.5899</v>
      </c>
      <c r="AF12" s="17" t="n">
        <v>267.1151</v>
      </c>
      <c r="AG12" s="17" t="n">
        <v>308.0647</v>
      </c>
      <c r="AH12" s="20" t="n">
        <v>46330</v>
      </c>
      <c r="AI12" s="18" t="n">
        <v>0.53</v>
      </c>
      <c r="AJ12" s="6" t="inlineStr">
        <is>
          <t>ok</t>
        </is>
      </c>
      <c r="AK12" s="12" t="n">
        <v>0</v>
      </c>
      <c r="AL12" s="15" t="n"/>
      <c r="AM12" s="17" t="n">
        <v>278.6</v>
      </c>
      <c r="AN12" s="19" t="n">
        <v>0.0312</v>
      </c>
      <c r="AO12" s="17" t="n">
        <v>100052.8</v>
      </c>
      <c r="AP12" s="17" t="n">
        <v>100052.8</v>
      </c>
      <c r="AQ12" s="19" t="n">
        <v>0.0833</v>
      </c>
      <c r="AR12" s="16" t="n"/>
      <c r="AS12" s="17" t="n"/>
      <c r="AT12" s="19" t="n"/>
      <c r="AU12" s="6" t="inlineStr">
        <is>
          <t>paper</t>
        </is>
      </c>
      <c r="AV12" s="6" t="inlineStr">
        <is>
          <t>980f13dc-f907-4bd4-b53e-7799785ee61b</t>
        </is>
      </c>
      <c r="AW12" s="6" t="inlineStr">
        <is>
          <t>tdagent-buy-ILMN-1793194266066</t>
        </is>
      </c>
      <c r="AX12" s="13" t="n">
        <v>46323.56326388889</v>
      </c>
      <c r="AY12" s="13" t="n">
        <v>46323.56466435185</v>
      </c>
      <c r="AZ12" s="13" t="n">
        <v>46323.56269675926</v>
      </c>
      <c r="BA12" s="6" t="n"/>
    </row>
    <row r="13">
      <c r="A13" s="12" t="n">
        <v>12</v>
      </c>
      <c r="B13" s="13" t="n">
        <v>46323.60626157407</v>
      </c>
      <c r="C13" s="13" t="n">
        <v>46323.39792824074</v>
      </c>
      <c r="D13" s="13" t="n">
        <v>46323.56459490741</v>
      </c>
      <c r="E13" s="14" t="inlineStr">
        <is>
          <t>BUY</t>
        </is>
      </c>
      <c r="F13" s="6" t="inlineStr">
        <is>
          <t>UTHR</t>
        </is>
      </c>
      <c r="G13" s="15" t="inlineStr">
        <is>
          <t>United Therapeutics Corporation Common Stock</t>
        </is>
      </c>
      <c r="H13" s="6" t="inlineStr">
        <is>
          <t>NASDAQ</t>
        </is>
      </c>
      <c r="I13" s="6" t="inlineStr">
        <is>
          <t>filled</t>
        </is>
      </c>
      <c r="J13" s="16" t="n">
        <v>14.223462352</v>
      </c>
      <c r="K13" s="17" t="n">
        <v>585.96</v>
      </c>
      <c r="L13" s="17">
        <f>IF(AND(ISNUMBER(J13),ISNUMBER(K13)),J13*K13,"")</f>
        <v/>
      </c>
      <c r="M13" s="17" t="n">
        <v>8334.389999999999</v>
      </c>
      <c r="N13" s="16" t="n"/>
      <c r="O13" s="6" t="inlineStr">
        <is>
          <t>4+/5 green</t>
        </is>
      </c>
      <c r="P13" s="15" t="inlineStr">
        <is>
          <t>5 of 5 green, time machine green, rank #10, 8.33% of the $100,052.80 account</t>
        </is>
      </c>
      <c r="Q13" s="12" t="n">
        <v>5</v>
      </c>
      <c r="R13" s="6" t="inlineStr">
        <is>
          <t>ok</t>
        </is>
      </c>
      <c r="S13" s="18" t="n">
        <v>0.569</v>
      </c>
      <c r="T13" s="12" t="n">
        <v>51</v>
      </c>
      <c r="U13" s="19" t="n">
        <v>0.0118</v>
      </c>
      <c r="V13" s="19" t="n">
        <v>-0.1111</v>
      </c>
      <c r="W13" s="12" t="n">
        <v>10</v>
      </c>
      <c r="X13" s="6" t="inlineStr">
        <is>
          <t>ok</t>
        </is>
      </c>
      <c r="Y13" s="19" t="n">
        <v>0</v>
      </c>
      <c r="Z13" s="6" t="inlineStr">
        <is>
          <t>ok</t>
        </is>
      </c>
      <c r="AA13" s="12" t="n">
        <v>100</v>
      </c>
      <c r="AB13" s="15" t="n"/>
      <c r="AC13" s="6" t="inlineStr">
        <is>
          <t>ok</t>
        </is>
      </c>
      <c r="AD13" s="6" t="inlineStr">
        <is>
          <t>up</t>
        </is>
      </c>
      <c r="AE13" s="17" t="n">
        <v>604.2865</v>
      </c>
      <c r="AF13" s="17" t="n">
        <v>571.9452</v>
      </c>
      <c r="AG13" s="17" t="n">
        <v>636.6278</v>
      </c>
      <c r="AH13" s="20" t="n">
        <v>46330</v>
      </c>
      <c r="AI13" s="18" t="n">
        <v>0.55</v>
      </c>
      <c r="AJ13" s="6" t="inlineStr">
        <is>
          <t>ok</t>
        </is>
      </c>
      <c r="AK13" s="12" t="n">
        <v>0</v>
      </c>
      <c r="AL13" s="15" t="n"/>
      <c r="AM13" s="17" t="n">
        <v>591.35</v>
      </c>
      <c r="AN13" s="19" t="n">
        <v>-0.0023</v>
      </c>
      <c r="AO13" s="17" t="n">
        <v>100052.8</v>
      </c>
      <c r="AP13" s="17" t="n">
        <v>100052.8</v>
      </c>
      <c r="AQ13" s="19" t="n">
        <v>0.0833</v>
      </c>
      <c r="AR13" s="16" t="n"/>
      <c r="AS13" s="17" t="n"/>
      <c r="AT13" s="19" t="n"/>
      <c r="AU13" s="6" t="inlineStr">
        <is>
          <t>paper</t>
        </is>
      </c>
      <c r="AV13" s="6" t="inlineStr">
        <is>
          <t>4bf78c8b-c039-475a-999c-1bf4c352180c</t>
        </is>
      </c>
      <c r="AW13" s="6" t="inlineStr">
        <is>
          <t>tdagent-buy-UTHR-1793194266530</t>
        </is>
      </c>
      <c r="AX13" s="13" t="n">
        <v>46323.56326388889</v>
      </c>
      <c r="AY13" s="13" t="n">
        <v>46323.56459490741</v>
      </c>
      <c r="AZ13" s="13" t="n">
        <v>46323.56269675926</v>
      </c>
      <c r="BA13" s="6" t="n"/>
    </row>
    <row r="14">
      <c r="A14" s="12" t="n">
        <v>13</v>
      </c>
      <c r="B14" s="13" t="n">
        <v>46323.60640046297</v>
      </c>
      <c r="C14" s="13" t="n">
        <v>46323.39806712963</v>
      </c>
      <c r="D14" s="13" t="n">
        <v>46323.56473379629</v>
      </c>
      <c r="E14" s="14" t="inlineStr">
        <is>
          <t>BUY</t>
        </is>
      </c>
      <c r="F14" s="6" t="inlineStr">
        <is>
          <t>EBAY</t>
        </is>
      </c>
      <c r="G14" s="15" t="inlineStr">
        <is>
          <t>eBay Inc. Common Stock</t>
        </is>
      </c>
      <c r="H14" s="6" t="inlineStr">
        <is>
          <t>NASDAQ</t>
        </is>
      </c>
      <c r="I14" s="6" t="inlineStr">
        <is>
          <t>filled</t>
        </is>
      </c>
      <c r="J14" s="16" t="n">
        <v>70.13268309</v>
      </c>
      <c r="K14" s="17" t="n">
        <v>118.837319</v>
      </c>
      <c r="L14" s="17">
        <f>IF(AND(ISNUMBER(J14),ISNUMBER(K14)),J14*K14,"")</f>
        <v/>
      </c>
      <c r="M14" s="17" t="n">
        <v>8334.389999999999</v>
      </c>
      <c r="N14" s="16" t="n"/>
      <c r="O14" s="6" t="inlineStr">
        <is>
          <t>4+/5 green</t>
        </is>
      </c>
      <c r="P14" s="15" t="inlineStr">
        <is>
          <t>5 of 5 green, time machine green, rank #11, 8.33% of the $100,052.80 account</t>
        </is>
      </c>
      <c r="Q14" s="12" t="n">
        <v>5</v>
      </c>
      <c r="R14" s="6" t="inlineStr">
        <is>
          <t>ok</t>
        </is>
      </c>
      <c r="S14" s="18" t="n">
        <v>0.55</v>
      </c>
      <c r="T14" s="12" t="n">
        <v>40</v>
      </c>
      <c r="U14" s="19" t="n">
        <v>0.005500000000000001</v>
      </c>
      <c r="V14" s="19" t="n">
        <v>-0.1111</v>
      </c>
      <c r="W14" s="12" t="n">
        <v>11</v>
      </c>
      <c r="X14" s="6" t="inlineStr">
        <is>
          <t>ok</t>
        </is>
      </c>
      <c r="Y14" s="19" t="n">
        <v>0.0044</v>
      </c>
      <c r="Z14" s="6" t="inlineStr">
        <is>
          <t>ok</t>
        </is>
      </c>
      <c r="AA14" s="12" t="n">
        <v>100</v>
      </c>
      <c r="AB14" s="15" t="n"/>
      <c r="AC14" s="6" t="inlineStr">
        <is>
          <t>ok</t>
        </is>
      </c>
      <c r="AD14" s="6" t="inlineStr">
        <is>
          <t>up</t>
        </is>
      </c>
      <c r="AE14" s="17" t="n">
        <v>119.7698</v>
      </c>
      <c r="AF14" s="17" t="n">
        <v>114.8704</v>
      </c>
      <c r="AG14" s="17" t="n">
        <v>124.6691</v>
      </c>
      <c r="AH14" s="20" t="n">
        <v>46330</v>
      </c>
      <c r="AI14" s="18" t="n">
        <v>0.55</v>
      </c>
      <c r="AJ14" s="6" t="inlineStr">
        <is>
          <t>ok</t>
        </is>
      </c>
      <c r="AK14" s="12" t="n">
        <v>5</v>
      </c>
      <c r="AL14" s="15" t="inlineStr">
        <is>
          <t>UBS Maintains Neutral on eBay, Raises Price Target to $131</t>
        </is>
      </c>
      <c r="AM14" s="17" t="n">
        <v>118.33</v>
      </c>
      <c r="AN14" s="19" t="n">
        <v>-0.0067</v>
      </c>
      <c r="AO14" s="17" t="n">
        <v>100052.8</v>
      </c>
      <c r="AP14" s="17" t="n">
        <v>100052.8</v>
      </c>
      <c r="AQ14" s="19" t="n">
        <v>0.0833</v>
      </c>
      <c r="AR14" s="16" t="n"/>
      <c r="AS14" s="17" t="n"/>
      <c r="AT14" s="19" t="n"/>
      <c r="AU14" s="6" t="inlineStr">
        <is>
          <t>paper</t>
        </is>
      </c>
      <c r="AV14" s="6" t="inlineStr">
        <is>
          <t>8449c305-1c64-40c9-a24f-a14b858d4888</t>
        </is>
      </c>
      <c r="AW14" s="6" t="inlineStr">
        <is>
          <t>tdagent-buy-EBAY-1793194267013</t>
        </is>
      </c>
      <c r="AX14" s="13" t="n">
        <v>46323.56327546296</v>
      </c>
      <c r="AY14" s="13" t="n">
        <v>46323.56473379629</v>
      </c>
      <c r="AZ14" s="13" t="n">
        <v>46323.56269675926</v>
      </c>
      <c r="BA14" s="6" t="n"/>
    </row>
    <row r="15">
      <c r="A15" s="12" t="n">
        <v>14</v>
      </c>
      <c r="B15" s="13" t="n">
        <v>46323.60721064815</v>
      </c>
      <c r="C15" s="13" t="n">
        <v>46323.39887731482</v>
      </c>
      <c r="D15" s="13" t="n">
        <v>46323.56554398148</v>
      </c>
      <c r="E15" s="14" t="inlineStr">
        <is>
          <t>BUY</t>
        </is>
      </c>
      <c r="F15" s="6" t="inlineStr">
        <is>
          <t>OXY</t>
        </is>
      </c>
      <c r="G15" s="15" t="inlineStr">
        <is>
          <t>Occidental Petroleum Corporation</t>
        </is>
      </c>
      <c r="H15" s="6" t="inlineStr">
        <is>
          <t>NYSE</t>
        </is>
      </c>
      <c r="I15" s="6" t="inlineStr">
        <is>
          <t>filled</t>
        </is>
      </c>
      <c r="J15" s="16" t="n">
        <v>132.295201779</v>
      </c>
      <c r="K15" s="17" t="n">
        <v>62.998354</v>
      </c>
      <c r="L15" s="17">
        <f>IF(AND(ISNUMBER(J15),ISNUMBER(K15)),J15*K15,"")</f>
        <v/>
      </c>
      <c r="M15" s="17" t="n">
        <v>8334.389999999999</v>
      </c>
      <c r="N15" s="16" t="n"/>
      <c r="O15" s="6" t="inlineStr">
        <is>
          <t>4+/5 green</t>
        </is>
      </c>
      <c r="P15" s="15" t="inlineStr">
        <is>
          <t>4 of 5 green, time machine green, rank #12, 8.33% of the $100,052.80 account</t>
        </is>
      </c>
      <c r="Q15" s="12" t="n">
        <v>4</v>
      </c>
      <c r="R15" s="6" t="inlineStr">
        <is>
          <t>ok</t>
        </is>
      </c>
      <c r="S15" s="18" t="n">
        <v>0.621</v>
      </c>
      <c r="T15" s="12" t="n">
        <v>58</v>
      </c>
      <c r="U15" s="19" t="n">
        <v>0.0105</v>
      </c>
      <c r="V15" s="19" t="n">
        <v>-0.1111</v>
      </c>
      <c r="W15" s="12" t="n">
        <v>12</v>
      </c>
      <c r="X15" s="6" t="inlineStr">
        <is>
          <t>ok</t>
        </is>
      </c>
      <c r="Y15" s="19" t="n">
        <v>0.006500000000000001</v>
      </c>
      <c r="Z15" s="6" t="inlineStr">
        <is>
          <t>ok</t>
        </is>
      </c>
      <c r="AA15" s="12" t="n">
        <v>100</v>
      </c>
      <c r="AB15" s="15" t="n"/>
      <c r="AC15" s="6" t="inlineStr">
        <is>
          <t>ok</t>
        </is>
      </c>
      <c r="AD15" s="6" t="inlineStr">
        <is>
          <t>up</t>
        </is>
      </c>
      <c r="AE15" s="17" t="n">
        <v>63.7925</v>
      </c>
      <c r="AF15" s="17" t="n">
        <v>61.1362</v>
      </c>
      <c r="AG15" s="17" t="n">
        <v>66.44889999999999</v>
      </c>
      <c r="AH15" s="20" t="n">
        <v>46330</v>
      </c>
      <c r="AI15" s="18" t="n">
        <v>0.54</v>
      </c>
      <c r="AJ15" s="6" t="inlineStr">
        <is>
          <t>watch</t>
        </is>
      </c>
      <c r="AK15" s="12" t="n">
        <v>7</v>
      </c>
      <c r="AL15" s="15" t="inlineStr">
        <is>
          <t>Goldman Sachs Downgrades Occidental Petroleum to Neutral</t>
        </is>
      </c>
      <c r="AM15" s="17" t="n">
        <v>63.14</v>
      </c>
      <c r="AN15" s="19" t="n">
        <v>-0.0209</v>
      </c>
      <c r="AO15" s="17" t="n">
        <v>100052.8</v>
      </c>
      <c r="AP15" s="17" t="n">
        <v>100052.8</v>
      </c>
      <c r="AQ15" s="19" t="n">
        <v>0.0833</v>
      </c>
      <c r="AR15" s="16" t="n"/>
      <c r="AS15" s="17" t="n"/>
      <c r="AT15" s="19" t="n"/>
      <c r="AU15" s="6" t="inlineStr">
        <is>
          <t>paper</t>
        </is>
      </c>
      <c r="AV15" s="6" t="inlineStr">
        <is>
          <t>e2f8f479-97ed-463a-aab1-2ca11da16008</t>
        </is>
      </c>
      <c r="AW15" s="6" t="inlineStr">
        <is>
          <t>tdagent-buy-OXY-1793194267523</t>
        </is>
      </c>
      <c r="AX15" s="13" t="n">
        <v>46323.56327546296</v>
      </c>
      <c r="AY15" s="13" t="n">
        <v>46323.56554398148</v>
      </c>
      <c r="AZ15" s="13" t="n">
        <v>46323.56269675926</v>
      </c>
      <c r="BA15" s="6" t="n"/>
    </row>
    <row r="16">
      <c r="A16" s="12" t="n">
        <v>15</v>
      </c>
      <c r="B16" s="13" t="n">
        <v>46323.60728009259</v>
      </c>
      <c r="C16" s="13" t="n">
        <v>46323.39894675926</v>
      </c>
      <c r="D16" s="13" t="n">
        <v>46323.56561342593</v>
      </c>
      <c r="E16" s="14" t="inlineStr">
        <is>
          <t>BUY</t>
        </is>
      </c>
      <c r="F16" s="6" t="inlineStr">
        <is>
          <t>IQV</t>
        </is>
      </c>
      <c r="G16" s="15" t="inlineStr">
        <is>
          <t>IQVIA Holdings Inc.</t>
        </is>
      </c>
      <c r="H16" s="6" t="inlineStr">
        <is>
          <t>NYSE</t>
        </is>
      </c>
      <c r="I16" s="6" t="inlineStr">
        <is>
          <t>filled</t>
        </is>
      </c>
      <c r="J16" s="16" t="n">
        <v>30.359759869</v>
      </c>
      <c r="K16" s="17" t="n">
        <v>274.520617</v>
      </c>
      <c r="L16" s="17">
        <f>IF(AND(ISNUMBER(J16),ISNUMBER(K16)),J16*K16,"")</f>
        <v/>
      </c>
      <c r="M16" s="17" t="n">
        <v>8334.389999999999</v>
      </c>
      <c r="N16" s="16" t="n"/>
      <c r="O16" s="6" t="inlineStr">
        <is>
          <t>4+/5 green</t>
        </is>
      </c>
      <c r="P16" s="15" t="inlineStr">
        <is>
          <t>4 of 5 green, time machine green, rank #13, 8.33% of the $100,052.80 account</t>
        </is>
      </c>
      <c r="Q16" s="12" t="n">
        <v>4</v>
      </c>
      <c r="R16" s="6" t="inlineStr">
        <is>
          <t>ok</t>
        </is>
      </c>
      <c r="S16" s="18" t="n">
        <v>0.6</v>
      </c>
      <c r="T16" s="12" t="n">
        <v>75</v>
      </c>
      <c r="U16" s="19" t="n">
        <v>0.0142</v>
      </c>
      <c r="V16" s="19" t="n">
        <v>-0.1111</v>
      </c>
      <c r="W16" s="12" t="n">
        <v>13</v>
      </c>
      <c r="X16" s="6" t="inlineStr">
        <is>
          <t>ok</t>
        </is>
      </c>
      <c r="Y16" s="19" t="n">
        <v>0.004699999999999999</v>
      </c>
      <c r="Z16" s="6" t="inlineStr">
        <is>
          <t>ok</t>
        </is>
      </c>
      <c r="AA16" s="12" t="n">
        <v>100</v>
      </c>
      <c r="AB16" s="15" t="n"/>
      <c r="AC16" s="6" t="inlineStr">
        <is>
          <t>ok</t>
        </is>
      </c>
      <c r="AD16" s="6" t="inlineStr">
        <is>
          <t>up</t>
        </is>
      </c>
      <c r="AE16" s="17" t="n">
        <v>275.4603</v>
      </c>
      <c r="AF16" s="17" t="n">
        <v>265.4096</v>
      </c>
      <c r="AG16" s="17" t="n">
        <v>285.511</v>
      </c>
      <c r="AH16" s="20" t="n">
        <v>46330</v>
      </c>
      <c r="AI16" s="18" t="n">
        <v>0.53</v>
      </c>
      <c r="AJ16" s="6" t="inlineStr">
        <is>
          <t>watch</t>
        </is>
      </c>
      <c r="AK16" s="12" t="n">
        <v>7</v>
      </c>
      <c r="AL16" s="15" t="inlineStr">
        <is>
          <t>IQVIA Hldgs Q3 2026 Earnings Call Transcript</t>
        </is>
      </c>
      <c r="AM16" s="17" t="n">
        <v>270.175</v>
      </c>
      <c r="AN16" s="19" t="n">
        <v>-0.0092</v>
      </c>
      <c r="AO16" s="17" t="n">
        <v>100052.8</v>
      </c>
      <c r="AP16" s="17" t="n">
        <v>100052.8</v>
      </c>
      <c r="AQ16" s="19" t="n">
        <v>0.0833</v>
      </c>
      <c r="AR16" s="16" t="n"/>
      <c r="AS16" s="17" t="n"/>
      <c r="AT16" s="19" t="n"/>
      <c r="AU16" s="6" t="inlineStr">
        <is>
          <t>paper</t>
        </is>
      </c>
      <c r="AV16" s="6" t="inlineStr">
        <is>
          <t>dcb95512-fd40-4530-b67d-8e5ef4305ac4</t>
        </is>
      </c>
      <c r="AW16" s="6" t="inlineStr">
        <is>
          <t>tdagent-buy-IQV-1793194268057</t>
        </is>
      </c>
      <c r="AX16" s="13" t="n">
        <v>46323.56328703704</v>
      </c>
      <c r="AY16" s="13" t="n">
        <v>46323.56561342593</v>
      </c>
      <c r="AZ16" s="13" t="n">
        <v>46323.56269675926</v>
      </c>
      <c r="BA16" s="6" t="n"/>
    </row>
    <row r="17">
      <c r="A17" s="12" t="n">
        <v>16</v>
      </c>
      <c r="B17" s="13" t="n">
        <v>46323.60732638889</v>
      </c>
      <c r="C17" s="13" t="n">
        <v>46323.39899305555</v>
      </c>
      <c r="D17" s="13" t="n">
        <v>46323.56565972222</v>
      </c>
      <c r="E17" s="14" t="inlineStr">
        <is>
          <t>BUY</t>
        </is>
      </c>
      <c r="F17" s="6" t="inlineStr">
        <is>
          <t>PBR.A</t>
        </is>
      </c>
      <c r="G17" s="15" t="inlineStr">
        <is>
          <t>Petroleo Brasileiro S.A.-Petrobras</t>
        </is>
      </c>
      <c r="H17" s="6" t="inlineStr">
        <is>
          <t>NYSE</t>
        </is>
      </c>
      <c r="I17" s="6" t="inlineStr">
        <is>
          <t>filled</t>
        </is>
      </c>
      <c r="J17" s="16" t="n">
        <v>423.159067882</v>
      </c>
      <c r="K17" s="17" t="n">
        <v>19.69562</v>
      </c>
      <c r="L17" s="17">
        <f>IF(AND(ISNUMBER(J17),ISNUMBER(K17)),J17*K17,"")</f>
        <v/>
      </c>
      <c r="M17" s="17" t="n">
        <v>8334.389999999999</v>
      </c>
      <c r="N17" s="16" t="n"/>
      <c r="O17" s="6" t="inlineStr">
        <is>
          <t>4+/5 green</t>
        </is>
      </c>
      <c r="P17" s="15" t="inlineStr">
        <is>
          <t>4 of 5 green, time machine green, rank #14, 8.33% of the $100,052.80 account</t>
        </is>
      </c>
      <c r="Q17" s="12" t="n">
        <v>4</v>
      </c>
      <c r="R17" s="6" t="inlineStr">
        <is>
          <t>ok</t>
        </is>
      </c>
      <c r="S17" s="18" t="n">
        <v>0.652</v>
      </c>
      <c r="T17" s="12" t="n">
        <v>66</v>
      </c>
      <c r="U17" s="19" t="n">
        <v>0.0247</v>
      </c>
      <c r="V17" s="19" t="n">
        <v>-0.1111</v>
      </c>
      <c r="W17" s="12" t="n">
        <v>14</v>
      </c>
      <c r="X17" s="6" t="inlineStr">
        <is>
          <t>ok</t>
        </is>
      </c>
      <c r="Y17" s="19" t="n">
        <v>0.0018</v>
      </c>
      <c r="Z17" s="6" t="inlineStr">
        <is>
          <t>watch</t>
        </is>
      </c>
      <c r="AA17" s="12" t="n">
        <v>70</v>
      </c>
      <c r="AB17" s="15" t="inlineStr">
        <is>
          <t>One day (-15.4%) did 121% of the 10-day move. The trend rests on a single jump.; Price gapped 16.8% at an open in the last week.</t>
        </is>
      </c>
      <c r="AC17" s="6" t="inlineStr">
        <is>
          <t>ok</t>
        </is>
      </c>
      <c r="AD17" s="6" t="inlineStr">
        <is>
          <t>up</t>
        </is>
      </c>
      <c r="AE17" s="17" t="n">
        <v>20.3103</v>
      </c>
      <c r="AF17" s="17" t="n">
        <v>18.9221</v>
      </c>
      <c r="AG17" s="17" t="n">
        <v>21.6984</v>
      </c>
      <c r="AH17" s="20" t="n">
        <v>46330</v>
      </c>
      <c r="AI17" s="18" t="n">
        <v>0.53</v>
      </c>
      <c r="AJ17" s="6" t="inlineStr">
        <is>
          <t>ok</t>
        </is>
      </c>
      <c r="AK17" s="12" t="n">
        <v>3</v>
      </c>
      <c r="AL17" s="15" t="inlineStr">
        <is>
          <t>Halliburton Deploys ROCS Technology With Petrobras in Brazil</t>
        </is>
      </c>
      <c r="AM17" s="17" t="n">
        <v>19.72</v>
      </c>
      <c r="AN17" s="19" t="n">
        <v>-0.0075</v>
      </c>
      <c r="AO17" s="17" t="n">
        <v>100052.8</v>
      </c>
      <c r="AP17" s="17" t="n">
        <v>100052.8</v>
      </c>
      <c r="AQ17" s="19" t="n">
        <v>0.0833</v>
      </c>
      <c r="AR17" s="16" t="n"/>
      <c r="AS17" s="17" t="n"/>
      <c r="AT17" s="19" t="n"/>
      <c r="AU17" s="6" t="inlineStr">
        <is>
          <t>paper</t>
        </is>
      </c>
      <c r="AV17" s="6" t="inlineStr">
        <is>
          <t>d24a5b49-4f8b-4052-bbd2-144f6d025701</t>
        </is>
      </c>
      <c r="AW17" s="6" t="inlineStr">
        <is>
          <t>tdagent-buy-PBR.A-1793194268661</t>
        </is>
      </c>
      <c r="AX17" s="13" t="n">
        <v>46323.56328703704</v>
      </c>
      <c r="AY17" s="13" t="n">
        <v>46323.56565972222</v>
      </c>
      <c r="AZ17" s="13" t="n">
        <v>46323.56269675926</v>
      </c>
      <c r="BA17" s="6" t="n"/>
    </row>
    <row r="18">
      <c r="A18" s="12" t="n">
        <v>17</v>
      </c>
      <c r="B18" s="13" t="n">
        <v>46323.60892361111</v>
      </c>
      <c r="C18" s="13" t="n">
        <v>46323.40059027778</v>
      </c>
      <c r="D18" s="13" t="n">
        <v>46323.56725694444</v>
      </c>
      <c r="E18" s="21" t="inlineStr">
        <is>
          <t>SELL</t>
        </is>
      </c>
      <c r="F18" s="6" t="inlineStr">
        <is>
          <t>IQV</t>
        </is>
      </c>
      <c r="G18" s="15" t="inlineStr">
        <is>
          <t>IQV</t>
        </is>
      </c>
      <c r="H18" s="6" t="inlineStr">
        <is>
          <t>NYSE</t>
        </is>
      </c>
      <c r="I18" s="6" t="inlineStr">
        <is>
          <t>filled</t>
        </is>
      </c>
      <c r="J18" s="16" t="n">
        <v>15.179879934</v>
      </c>
      <c r="K18" s="17" t="n">
        <v>273.44</v>
      </c>
      <c r="L18" s="17">
        <f>IF(AND(ISNUMBER(J18),ISNUMBER(K18)),J18*K18,"")</f>
        <v/>
      </c>
      <c r="M18" s="17" t="n"/>
      <c r="N18" s="16" t="n">
        <v>15.179879934</v>
      </c>
      <c r="O18" s="6" t="inlineStr">
        <is>
          <t>3 green: sell half</t>
        </is>
      </c>
      <c r="P18" s="15" t="inlineStr">
        <is>
          <t>3 of 5 green: start selling (half)</t>
        </is>
      </c>
      <c r="Q18" s="12" t="n">
        <v>3</v>
      </c>
      <c r="R18" s="6" t="inlineStr">
        <is>
          <t>ok</t>
        </is>
      </c>
      <c r="S18" s="18" t="n">
        <v>0.6</v>
      </c>
      <c r="T18" s="12" t="n">
        <v>75</v>
      </c>
      <c r="U18" s="19" t="n">
        <v>0.0142</v>
      </c>
      <c r="V18" s="19" t="n">
        <v>-0.1111</v>
      </c>
      <c r="W18" s="12" t="n"/>
      <c r="X18" s="6" t="inlineStr">
        <is>
          <t>watch</t>
        </is>
      </c>
      <c r="Y18" s="19" t="n">
        <v>0.0091</v>
      </c>
      <c r="Z18" s="6" t="inlineStr">
        <is>
          <t>ok</t>
        </is>
      </c>
      <c r="AA18" s="12" t="n">
        <v>100</v>
      </c>
      <c r="AB18" s="15" t="n"/>
      <c r="AC18" s="6" t="inlineStr">
        <is>
          <t>ok</t>
        </is>
      </c>
      <c r="AD18" s="6" t="inlineStr">
        <is>
          <t>up</t>
        </is>
      </c>
      <c r="AE18" s="17" t="n">
        <v>275.8908</v>
      </c>
      <c r="AF18" s="17" t="n">
        <v>266.0138</v>
      </c>
      <c r="AG18" s="17" t="n">
        <v>285.7679</v>
      </c>
      <c r="AH18" s="20" t="n">
        <v>46330</v>
      </c>
      <c r="AI18" s="18" t="n">
        <v>0.53</v>
      </c>
      <c r="AJ18" s="6" t="inlineStr">
        <is>
          <t>watch</t>
        </is>
      </c>
      <c r="AK18" s="12" t="n">
        <v>7</v>
      </c>
      <c r="AL18" s="15" t="inlineStr">
        <is>
          <t>IQVIA Hldgs Q3 2026 Earnings Call Transcript</t>
        </is>
      </c>
      <c r="AM18" s="17" t="n">
        <v>271.94</v>
      </c>
      <c r="AN18" s="19" t="n">
        <v>0.0018</v>
      </c>
      <c r="AO18" s="17" t="n">
        <v>99990.35000000001</v>
      </c>
      <c r="AP18" s="17" t="n">
        <v>40.24</v>
      </c>
      <c r="AQ18" s="19" t="n">
        <v>0.0833</v>
      </c>
      <c r="AR18" s="16" t="n">
        <v>30.359759869</v>
      </c>
      <c r="AS18" s="17" t="n">
        <v>274.520617</v>
      </c>
      <c r="AT18" s="19" t="n">
        <v>-0.0028</v>
      </c>
      <c r="AU18" s="6" t="inlineStr">
        <is>
          <t>paper</t>
        </is>
      </c>
      <c r="AV18" s="6" t="inlineStr">
        <is>
          <t>23c6235d-dfef-4aeb-a7b4-d002f9b5f79f</t>
        </is>
      </c>
      <c r="AW18" s="6" t="inlineStr">
        <is>
          <t>tdagent-sell-IQV-1793194607983</t>
        </is>
      </c>
      <c r="AX18" s="13" t="n">
        <v>46323.56721064815</v>
      </c>
      <c r="AY18" s="13" t="n">
        <v>46323.56725694444</v>
      </c>
      <c r="AZ18" s="13" t="n">
        <v>46323.56685185185</v>
      </c>
      <c r="BA18" s="6" t="n"/>
    </row>
    <row r="19">
      <c r="A19" s="12" t="n">
        <v>18</v>
      </c>
      <c r="B19" s="13" t="n">
        <v>46323.60894675926</v>
      </c>
      <c r="C19" s="13" t="n">
        <v>46323.40061342593</v>
      </c>
      <c r="D19" s="13" t="n">
        <v>46323.56728009259</v>
      </c>
      <c r="E19" s="21" t="inlineStr">
        <is>
          <t>SELL</t>
        </is>
      </c>
      <c r="F19" s="6" t="inlineStr">
        <is>
          <t>PBR.A</t>
        </is>
      </c>
      <c r="G19" s="15" t="inlineStr">
        <is>
          <t>PBR.A</t>
        </is>
      </c>
      <c r="H19" s="6" t="inlineStr">
        <is>
          <t>NYSE</t>
        </is>
      </c>
      <c r="I19" s="6" t="inlineStr">
        <is>
          <t>filled</t>
        </is>
      </c>
      <c r="J19" s="16" t="n">
        <v>211.579533941</v>
      </c>
      <c r="K19" s="17" t="n">
        <v>19.755625</v>
      </c>
      <c r="L19" s="17">
        <f>IF(AND(ISNUMBER(J19),ISNUMBER(K19)),J19*K19,"")</f>
        <v/>
      </c>
      <c r="M19" s="17" t="n"/>
      <c r="N19" s="16" t="n">
        <v>211.579533941</v>
      </c>
      <c r="O19" s="6" t="inlineStr">
        <is>
          <t>3 green: sell half</t>
        </is>
      </c>
      <c r="P19" s="15" t="inlineStr">
        <is>
          <t>3 of 5 green: start selling (half)</t>
        </is>
      </c>
      <c r="Q19" s="12" t="n">
        <v>3</v>
      </c>
      <c r="R19" s="6" t="inlineStr">
        <is>
          <t>ok</t>
        </is>
      </c>
      <c r="S19" s="18" t="n">
        <v>0.652</v>
      </c>
      <c r="T19" s="12" t="n">
        <v>66</v>
      </c>
      <c r="U19" s="19" t="n">
        <v>0.0247</v>
      </c>
      <c r="V19" s="19" t="n">
        <v>-0.1111</v>
      </c>
      <c r="W19" s="12" t="n"/>
      <c r="X19" s="6" t="inlineStr">
        <is>
          <t>ok</t>
        </is>
      </c>
      <c r="Y19" s="19" t="n">
        <v>0.0005</v>
      </c>
      <c r="Z19" s="6" t="inlineStr">
        <is>
          <t>watch</t>
        </is>
      </c>
      <c r="AA19" s="12" t="n">
        <v>70</v>
      </c>
      <c r="AB19" s="15" t="inlineStr">
        <is>
          <t>One day (-15.4%) did 107% of the 10-day move. The trend rests on a single jump.; Price gapped 16.8% at an open in the last week.</t>
        </is>
      </c>
      <c r="AC19" s="6" t="inlineStr">
        <is>
          <t>watch</t>
        </is>
      </c>
      <c r="AD19" s="6" t="inlineStr">
        <is>
          <t>flat</t>
        </is>
      </c>
      <c r="AE19" s="17" t="n">
        <v>19.76</v>
      </c>
      <c r="AF19" s="17" t="n">
        <v>18.3771</v>
      </c>
      <c r="AG19" s="17" t="n">
        <v>21.1429</v>
      </c>
      <c r="AH19" s="20" t="n">
        <v>46330</v>
      </c>
      <c r="AI19" s="18" t="n">
        <v>0.5</v>
      </c>
      <c r="AJ19" s="6" t="inlineStr">
        <is>
          <t>ok</t>
        </is>
      </c>
      <c r="AK19" s="12" t="n">
        <v>3</v>
      </c>
      <c r="AL19" s="15" t="inlineStr">
        <is>
          <t>Halliburton Deploys ROCS Technology With Petrobras in Brazil</t>
        </is>
      </c>
      <c r="AM19" s="17" t="n">
        <v>19.75</v>
      </c>
      <c r="AN19" s="19" t="n">
        <v>0.0003</v>
      </c>
      <c r="AO19" s="17" t="n">
        <v>99990.35000000001</v>
      </c>
      <c r="AP19" s="17" t="n">
        <v>40.24</v>
      </c>
      <c r="AQ19" s="19" t="n">
        <v>0.0833</v>
      </c>
      <c r="AR19" s="16" t="n">
        <v>423.159067882</v>
      </c>
      <c r="AS19" s="17" t="n">
        <v>19.69562</v>
      </c>
      <c r="AT19" s="19" t="n">
        <v>0.0028</v>
      </c>
      <c r="AU19" s="6" t="inlineStr">
        <is>
          <t>paper</t>
        </is>
      </c>
      <c r="AV19" s="6" t="inlineStr">
        <is>
          <t>e3451ca4-e963-4073-ad76-f95ca1253ccb</t>
        </is>
      </c>
      <c r="AW19" s="6" t="inlineStr">
        <is>
          <t>tdagent-sell-PBR.A-1793194608171</t>
        </is>
      </c>
      <c r="AX19" s="13" t="n">
        <v>46323.56722222222</v>
      </c>
      <c r="AY19" s="13" t="n">
        <v>46323.56728009259</v>
      </c>
      <c r="AZ19" s="13" t="n">
        <v>46323.56685185185</v>
      </c>
      <c r="BA19" s="6" t="n"/>
    </row>
    <row r="20">
      <c r="A20" s="12" t="n">
        <v>19</v>
      </c>
      <c r="B20" s="13" t="n">
        <v>46323.66149305556</v>
      </c>
      <c r="C20" s="13" t="n">
        <v>46323.45315972222</v>
      </c>
      <c r="D20" s="13" t="n">
        <v>46323.61982638889</v>
      </c>
      <c r="E20" s="21" t="inlineStr">
        <is>
          <t>SELL</t>
        </is>
      </c>
      <c r="F20" s="6" t="inlineStr">
        <is>
          <t>UTHR</t>
        </is>
      </c>
      <c r="G20" s="15" t="inlineStr">
        <is>
          <t>UTHR</t>
        </is>
      </c>
      <c r="H20" s="6" t="inlineStr">
        <is>
          <t>NASDAQ</t>
        </is>
      </c>
      <c r="I20" s="6" t="inlineStr">
        <is>
          <t>filled</t>
        </is>
      </c>
      <c r="J20" s="16" t="n">
        <v>7.111731176</v>
      </c>
      <c r="K20" s="17" t="n">
        <v>588.24</v>
      </c>
      <c r="L20" s="17">
        <f>IF(AND(ISNUMBER(J20),ISNUMBER(K20)),J20*K20,"")</f>
        <v/>
      </c>
      <c r="M20" s="17" t="n"/>
      <c r="N20" s="16" t="n">
        <v>7.111731176</v>
      </c>
      <c r="O20" s="6" t="inlineStr">
        <is>
          <t>3 green: sell half</t>
        </is>
      </c>
      <c r="P20" s="15" t="inlineStr">
        <is>
          <t>3 of 5 green: start selling (half)</t>
        </is>
      </c>
      <c r="Q20" s="12" t="n">
        <v>3</v>
      </c>
      <c r="R20" s="6" t="inlineStr">
        <is>
          <t>ok</t>
        </is>
      </c>
      <c r="S20" s="18" t="n">
        <v>0.569</v>
      </c>
      <c r="T20" s="12" t="n">
        <v>51</v>
      </c>
      <c r="U20" s="19" t="n">
        <v>0.0118</v>
      </c>
      <c r="V20" s="19" t="n">
        <v>-0.1111</v>
      </c>
      <c r="W20" s="12" t="n"/>
      <c r="X20" s="6" t="inlineStr">
        <is>
          <t>watch</t>
        </is>
      </c>
      <c r="Y20" s="19" t="n">
        <v>0.007900000000000001</v>
      </c>
      <c r="Z20" s="6" t="inlineStr">
        <is>
          <t>ok</t>
        </is>
      </c>
      <c r="AA20" s="12" t="n">
        <v>100</v>
      </c>
      <c r="AB20" s="15" t="n"/>
      <c r="AC20" s="6" t="inlineStr">
        <is>
          <t>watch</t>
        </is>
      </c>
      <c r="AD20" s="6" t="inlineStr">
        <is>
          <t>flat</t>
        </is>
      </c>
      <c r="AE20" s="17" t="n">
        <v>589.155</v>
      </c>
      <c r="AF20" s="17" t="n">
        <v>556.9173</v>
      </c>
      <c r="AG20" s="17" t="n">
        <v>621.3927</v>
      </c>
      <c r="AH20" s="20" t="n">
        <v>46330</v>
      </c>
      <c r="AI20" s="18" t="n">
        <v>0.5</v>
      </c>
      <c r="AJ20" s="6" t="inlineStr">
        <is>
          <t>ok</t>
        </is>
      </c>
      <c r="AK20" s="12" t="n">
        <v>1</v>
      </c>
      <c r="AL20" s="15" t="inlineStr">
        <is>
          <t>$100 Invested In United Therapeutics 15 Years Ago Would Be Worth This Much Today</t>
        </is>
      </c>
      <c r="AM20" s="17" t="n">
        <v>589.155</v>
      </c>
      <c r="AN20" s="19" t="n">
        <v>-0.0037</v>
      </c>
      <c r="AO20" s="17" t="n">
        <v>100467.14</v>
      </c>
      <c r="AP20" s="17" t="n">
        <v>8370.92</v>
      </c>
      <c r="AQ20" s="19" t="n">
        <v>0.0833</v>
      </c>
      <c r="AR20" s="16" t="n">
        <v>14.223462352</v>
      </c>
      <c r="AS20" s="17" t="n">
        <v>585.96</v>
      </c>
      <c r="AT20" s="19" t="n">
        <v>0.004699999999999999</v>
      </c>
      <c r="AU20" s="6" t="inlineStr">
        <is>
          <t>paper</t>
        </is>
      </c>
      <c r="AV20" s="6" t="inlineStr">
        <is>
          <t>7bad1f9c-33ad-4b49-9f35-6a76bd48b748</t>
        </is>
      </c>
      <c r="AW20" s="6" t="inlineStr">
        <is>
          <t>tdagent-sell-UTHR-1793199151204</t>
        </is>
      </c>
      <c r="AX20" s="13" t="n">
        <v>46323.61980324074</v>
      </c>
      <c r="AY20" s="13" t="n">
        <v>46323.61982638889</v>
      </c>
      <c r="AZ20" s="13" t="n">
        <v>46323.61961805556</v>
      </c>
      <c r="BA20" s="6" t="n"/>
    </row>
    <row r="21">
      <c r="A21" s="12" t="n">
        <v>20</v>
      </c>
      <c r="B21" s="13" t="n">
        <v>46323.67184027778</v>
      </c>
      <c r="C21" s="13" t="n">
        <v>46323.46350694444</v>
      </c>
      <c r="D21" s="13" t="n">
        <v>46323.63017361111</v>
      </c>
      <c r="E21" s="14" t="inlineStr">
        <is>
          <t>BUY</t>
        </is>
      </c>
      <c r="F21" s="6" t="inlineStr">
        <is>
          <t>ADI</t>
        </is>
      </c>
      <c r="G21" s="15" t="inlineStr">
        <is>
          <t>Analog Devices, Inc. Common Stock</t>
        </is>
      </c>
      <c r="H21" s="6" t="inlineStr">
        <is>
          <t>NASDAQ</t>
        </is>
      </c>
      <c r="I21" s="6" t="inlineStr">
        <is>
          <t>filled</t>
        </is>
      </c>
      <c r="J21" s="16" t="n">
        <v>2.460611764</v>
      </c>
      <c r="K21" s="17" t="n">
        <v>425</v>
      </c>
      <c r="L21" s="17">
        <f>IF(AND(ISNUMBER(J21),ISNUMBER(K21)),J21*K21,"")</f>
        <v/>
      </c>
      <c r="M21" s="17" t="n">
        <v>1045.77</v>
      </c>
      <c r="N21" s="16" t="n"/>
      <c r="O21" s="6" t="inlineStr">
        <is>
          <t>4+/5 green</t>
        </is>
      </c>
      <c r="P21" s="15" t="inlineStr">
        <is>
          <t>5 of 5 green, time machine green, rank #1, 8.33% of the $12,554.32 free cash split 12 ways</t>
        </is>
      </c>
      <c r="Q21" s="12" t="n">
        <v>5</v>
      </c>
      <c r="R21" s="6" t="inlineStr">
        <is>
          <t>ok</t>
        </is>
      </c>
      <c r="S21" s="18" t="n">
        <v>0.707</v>
      </c>
      <c r="T21" s="12" t="n">
        <v>75</v>
      </c>
      <c r="U21" s="19" t="n">
        <v>0.0147</v>
      </c>
      <c r="V21" s="19" t="n">
        <v>-0.1395</v>
      </c>
      <c r="W21" s="12" t="n">
        <v>1</v>
      </c>
      <c r="X21" s="6" t="inlineStr">
        <is>
          <t>ok</t>
        </is>
      </c>
      <c r="Y21" s="19" t="n">
        <v>0</v>
      </c>
      <c r="Z21" s="6" t="inlineStr">
        <is>
          <t>ok</t>
        </is>
      </c>
      <c r="AA21" s="12" t="n">
        <v>100</v>
      </c>
      <c r="AB21" s="15" t="n"/>
      <c r="AC21" s="6" t="inlineStr">
        <is>
          <t>ok</t>
        </is>
      </c>
      <c r="AD21" s="6" t="inlineStr">
        <is>
          <t>up</t>
        </is>
      </c>
      <c r="AE21" s="17" t="n">
        <v>431.932</v>
      </c>
      <c r="AF21" s="17" t="n">
        <v>413.102</v>
      </c>
      <c r="AG21" s="17" t="n">
        <v>450.762</v>
      </c>
      <c r="AH21" s="20" t="n">
        <v>46330</v>
      </c>
      <c r="AI21" s="18" t="n">
        <v>0.53</v>
      </c>
      <c r="AJ21" s="6" t="inlineStr">
        <is>
          <t>ok</t>
        </is>
      </c>
      <c r="AK21" s="12" t="n">
        <v>0</v>
      </c>
      <c r="AL21" s="15" t="n"/>
      <c r="AM21" s="17" t="n">
        <v>424.4</v>
      </c>
      <c r="AN21" s="19" t="n">
        <v>-0.002</v>
      </c>
      <c r="AO21" s="17" t="n">
        <v>100357.58</v>
      </c>
      <c r="AP21" s="17" t="n">
        <v>12554.32</v>
      </c>
      <c r="AQ21" s="19" t="n">
        <v>0.0833</v>
      </c>
      <c r="AR21" s="16" t="n"/>
      <c r="AS21" s="17" t="n"/>
      <c r="AT21" s="19" t="n"/>
      <c r="AU21" s="6" t="inlineStr">
        <is>
          <t>paper</t>
        </is>
      </c>
      <c r="AV21" s="6" t="inlineStr">
        <is>
          <t>e231ad14-a73b-476f-af0e-82110bbe24ec</t>
        </is>
      </c>
      <c r="AW21" s="6" t="inlineStr">
        <is>
          <t>tdagent-buy-ADI-1793200046969</t>
        </is>
      </c>
      <c r="AX21" s="13" t="n">
        <v>46323.63016203704</v>
      </c>
      <c r="AY21" s="13" t="n">
        <v>46323.63017361111</v>
      </c>
      <c r="AZ21" s="13" t="n">
        <v>46323.62954861111</v>
      </c>
      <c r="BA21" s="6" t="n"/>
    </row>
    <row r="22">
      <c r="A22" s="12" t="n">
        <v>21</v>
      </c>
      <c r="B22" s="13" t="n">
        <v>46323.67185185185</v>
      </c>
      <c r="C22" s="13" t="n">
        <v>46323.46351851852</v>
      </c>
      <c r="D22" s="13" t="n">
        <v>46323.63018518518</v>
      </c>
      <c r="E22" s="14" t="inlineStr">
        <is>
          <t>BUY</t>
        </is>
      </c>
      <c r="F22" s="6" t="inlineStr">
        <is>
          <t>NTRA</t>
        </is>
      </c>
      <c r="G22" s="15" t="inlineStr">
        <is>
          <t>Natera, Inc. Common Stock</t>
        </is>
      </c>
      <c r="H22" s="6" t="inlineStr">
        <is>
          <t>NASDAQ</t>
        </is>
      </c>
      <c r="I22" s="6" t="inlineStr">
        <is>
          <t>filled</t>
        </is>
      </c>
      <c r="J22" s="16" t="n">
        <v>2.434491107</v>
      </c>
      <c r="K22" s="17" t="n">
        <v>429.56</v>
      </c>
      <c r="L22" s="17">
        <f>IF(AND(ISNUMBER(J22),ISNUMBER(K22)),J22*K22,"")</f>
        <v/>
      </c>
      <c r="M22" s="17" t="n">
        <v>1045.77</v>
      </c>
      <c r="N22" s="16" t="n"/>
      <c r="O22" s="6" t="inlineStr">
        <is>
          <t>4+/5 green</t>
        </is>
      </c>
      <c r="P22" s="15" t="inlineStr">
        <is>
          <t>5 of 5 green, time machine green, rank #2, 8.33% of the $12,554.32 free cash split 12 ways</t>
        </is>
      </c>
      <c r="Q22" s="12" t="n">
        <v>5</v>
      </c>
      <c r="R22" s="6" t="inlineStr">
        <is>
          <t>ok</t>
        </is>
      </c>
      <c r="S22" s="18" t="n">
        <v>0.6919999999999999</v>
      </c>
      <c r="T22" s="12" t="n">
        <v>65</v>
      </c>
      <c r="U22" s="19" t="n">
        <v>0.0284</v>
      </c>
      <c r="V22" s="19" t="n">
        <v>-0.1395</v>
      </c>
      <c r="W22" s="12" t="n">
        <v>2</v>
      </c>
      <c r="X22" s="6" t="inlineStr">
        <is>
          <t>ok</t>
        </is>
      </c>
      <c r="Y22" s="19" t="n">
        <v>0.001</v>
      </c>
      <c r="Z22" s="6" t="inlineStr">
        <is>
          <t>ok</t>
        </is>
      </c>
      <c r="AA22" s="12" t="n">
        <v>100</v>
      </c>
      <c r="AB22" s="15" t="n"/>
      <c r="AC22" s="6" t="inlineStr">
        <is>
          <t>ok</t>
        </is>
      </c>
      <c r="AD22" s="6" t="inlineStr">
        <is>
          <t>up</t>
        </is>
      </c>
      <c r="AE22" s="17" t="n">
        <v>442.7164</v>
      </c>
      <c r="AF22" s="17" t="n">
        <v>409.2004</v>
      </c>
      <c r="AG22" s="17" t="n">
        <v>476.2324</v>
      </c>
      <c r="AH22" s="20" t="n">
        <v>46330</v>
      </c>
      <c r="AI22" s="18" t="n">
        <v>0.53</v>
      </c>
      <c r="AJ22" s="6" t="inlineStr">
        <is>
          <t>ok</t>
        </is>
      </c>
      <c r="AK22" s="12" t="n">
        <v>5</v>
      </c>
      <c r="AL22" s="15" t="inlineStr">
        <is>
          <t>BTIG Maintains Buy on Natera, Raises Price Target to $430</t>
        </is>
      </c>
      <c r="AM22" s="17" t="n">
        <v>429.31</v>
      </c>
      <c r="AN22" s="19" t="n">
        <v>0.045</v>
      </c>
      <c r="AO22" s="17" t="n">
        <v>100357.58</v>
      </c>
      <c r="AP22" s="17" t="n">
        <v>12554.32</v>
      </c>
      <c r="AQ22" s="19" t="n">
        <v>0.0833</v>
      </c>
      <c r="AR22" s="16" t="n"/>
      <c r="AS22" s="17" t="n"/>
      <c r="AT22" s="19" t="n"/>
      <c r="AU22" s="6" t="inlineStr">
        <is>
          <t>paper</t>
        </is>
      </c>
      <c r="AV22" s="6" t="inlineStr">
        <is>
          <t>e246d111-60a8-4104-b741-c60e83ced992</t>
        </is>
      </c>
      <c r="AW22" s="6" t="inlineStr">
        <is>
          <t>tdagent-buy-NTRA-1793200047226</t>
        </is>
      </c>
      <c r="AX22" s="13" t="n">
        <v>46323.63017361111</v>
      </c>
      <c r="AY22" s="13" t="n">
        <v>46323.63018518518</v>
      </c>
      <c r="AZ22" s="13" t="n">
        <v>46323.62954861111</v>
      </c>
      <c r="BA22" s="6" t="n"/>
    </row>
    <row r="23">
      <c r="A23" s="12" t="n">
        <v>22</v>
      </c>
      <c r="B23" s="13" t="n">
        <v>46323.67184027778</v>
      </c>
      <c r="C23" s="13" t="n">
        <v>46323.46350694444</v>
      </c>
      <c r="D23" s="13" t="n">
        <v>46323.63017361111</v>
      </c>
      <c r="E23" s="14" t="inlineStr">
        <is>
          <t>BUY</t>
        </is>
      </c>
      <c r="F23" s="6" t="inlineStr">
        <is>
          <t>LNG</t>
        </is>
      </c>
      <c r="G23" s="15" t="inlineStr">
        <is>
          <t>Cheniere Energy Inc</t>
        </is>
      </c>
      <c r="H23" s="6" t="inlineStr">
        <is>
          <t>NYSE</t>
        </is>
      </c>
      <c r="I23" s="6" t="inlineStr">
        <is>
          <t>filled</t>
        </is>
      </c>
      <c r="J23" s="16" t="n">
        <v>3.489356022</v>
      </c>
      <c r="K23" s="17" t="n">
        <v>299.7</v>
      </c>
      <c r="L23" s="17">
        <f>IF(AND(ISNUMBER(J23),ISNUMBER(K23)),J23*K23,"")</f>
        <v/>
      </c>
      <c r="M23" s="17" t="n">
        <v>1045.77</v>
      </c>
      <c r="N23" s="16" t="n"/>
      <c r="O23" s="6" t="inlineStr">
        <is>
          <t>4+/5 green</t>
        </is>
      </c>
      <c r="P23" s="15" t="inlineStr">
        <is>
          <t>5 of 5 green, time machine green, rank #3, 8.33% of the $12,554.32 free cash split 12 ways</t>
        </is>
      </c>
      <c r="Q23" s="12" t="n">
        <v>5</v>
      </c>
      <c r="R23" s="6" t="inlineStr">
        <is>
          <t>ok</t>
        </is>
      </c>
      <c r="S23" s="18" t="n">
        <v>0.66</v>
      </c>
      <c r="T23" s="12" t="n">
        <v>53</v>
      </c>
      <c r="U23" s="19" t="n">
        <v>0.0112</v>
      </c>
      <c r="V23" s="19" t="n">
        <v>-0.1395</v>
      </c>
      <c r="W23" s="12" t="n">
        <v>3</v>
      </c>
      <c r="X23" s="6" t="inlineStr">
        <is>
          <t>ok</t>
        </is>
      </c>
      <c r="Y23" s="19" t="n">
        <v>0</v>
      </c>
      <c r="Z23" s="6" t="inlineStr">
        <is>
          <t>ok</t>
        </is>
      </c>
      <c r="AA23" s="12" t="n">
        <v>100</v>
      </c>
      <c r="AB23" s="15" t="n"/>
      <c r="AC23" s="6" t="inlineStr">
        <is>
          <t>ok</t>
        </is>
      </c>
      <c r="AD23" s="6" t="inlineStr">
        <is>
          <t>up</t>
        </is>
      </c>
      <c r="AE23" s="17" t="n">
        <v>304.4505</v>
      </c>
      <c r="AF23" s="17" t="n">
        <v>292.3993</v>
      </c>
      <c r="AG23" s="17" t="n">
        <v>316.5016</v>
      </c>
      <c r="AH23" s="20" t="n">
        <v>46330</v>
      </c>
      <c r="AI23" s="18" t="n">
        <v>0.54</v>
      </c>
      <c r="AJ23" s="6" t="inlineStr">
        <is>
          <t>ok</t>
        </is>
      </c>
      <c r="AK23" s="12" t="n">
        <v>0</v>
      </c>
      <c r="AL23" s="15" t="n"/>
      <c r="AM23" s="17" t="n">
        <v>299.63</v>
      </c>
      <c r="AN23" s="19" t="n">
        <v>-0.0003</v>
      </c>
      <c r="AO23" s="17" t="n">
        <v>100357.58</v>
      </c>
      <c r="AP23" s="17" t="n">
        <v>12554.32</v>
      </c>
      <c r="AQ23" s="19" t="n">
        <v>0.0833</v>
      </c>
      <c r="AR23" s="16" t="n"/>
      <c r="AS23" s="17" t="n"/>
      <c r="AT23" s="19" t="n"/>
      <c r="AU23" s="6" t="inlineStr">
        <is>
          <t>paper</t>
        </is>
      </c>
      <c r="AV23" s="6" t="inlineStr">
        <is>
          <t>ad27f149-a613-4f91-8db8-e8d8a78946b6</t>
        </is>
      </c>
      <c r="AW23" s="6" t="inlineStr">
        <is>
          <t>tdagent-buy-LNG-1793200047525</t>
        </is>
      </c>
      <c r="AX23" s="13" t="n">
        <v>46323.63017361111</v>
      </c>
      <c r="AY23" s="13" t="n">
        <v>46323.63017361111</v>
      </c>
      <c r="AZ23" s="13" t="n">
        <v>46323.62954861111</v>
      </c>
      <c r="BA23" s="6" t="n"/>
    </row>
    <row r="24">
      <c r="A24" s="12" t="n">
        <v>23</v>
      </c>
      <c r="B24" s="13" t="n">
        <v>46323.67185185185</v>
      </c>
      <c r="C24" s="13" t="n">
        <v>46323.46351851852</v>
      </c>
      <c r="D24" s="13" t="n">
        <v>46323.63018518518</v>
      </c>
      <c r="E24" s="14" t="inlineStr">
        <is>
          <t>BUY</t>
        </is>
      </c>
      <c r="F24" s="6" t="inlineStr">
        <is>
          <t>MO</t>
        </is>
      </c>
      <c r="G24" s="15" t="inlineStr">
        <is>
          <t>Altria Group, Inc.</t>
        </is>
      </c>
      <c r="H24" s="6" t="inlineStr">
        <is>
          <t>NYSE</t>
        </is>
      </c>
      <c r="I24" s="6" t="inlineStr">
        <is>
          <t>filled</t>
        </is>
      </c>
      <c r="J24" s="16" t="n">
        <v>14.214489601</v>
      </c>
      <c r="K24" s="17" t="n">
        <v>73.56999999999999</v>
      </c>
      <c r="L24" s="17">
        <f>IF(AND(ISNUMBER(J24),ISNUMBER(K24)),J24*K24,"")</f>
        <v/>
      </c>
      <c r="M24" s="17" t="n">
        <v>1045.77</v>
      </c>
      <c r="N24" s="16" t="n"/>
      <c r="O24" s="6" t="inlineStr">
        <is>
          <t>4+/5 green</t>
        </is>
      </c>
      <c r="P24" s="15" t="inlineStr">
        <is>
          <t>5 of 5 green, time machine green, rank #4, 8.33% of the $12,554.32 free cash split 12 ways</t>
        </is>
      </c>
      <c r="Q24" s="12" t="n">
        <v>5</v>
      </c>
      <c r="R24" s="6" t="inlineStr">
        <is>
          <t>ok</t>
        </is>
      </c>
      <c r="S24" s="18" t="n">
        <v>0.644</v>
      </c>
      <c r="T24" s="12" t="n">
        <v>45</v>
      </c>
      <c r="U24" s="19" t="n">
        <v>0.0097</v>
      </c>
      <c r="V24" s="19" t="n">
        <v>-0.1395</v>
      </c>
      <c r="W24" s="12" t="n">
        <v>4</v>
      </c>
      <c r="X24" s="6" t="inlineStr">
        <is>
          <t>ok</t>
        </is>
      </c>
      <c r="Y24" s="19" t="n">
        <v>0.0002</v>
      </c>
      <c r="Z24" s="6" t="inlineStr">
        <is>
          <t>ok</t>
        </is>
      </c>
      <c r="AA24" s="12" t="n">
        <v>100</v>
      </c>
      <c r="AB24" s="15" t="n"/>
      <c r="AC24" s="6" t="inlineStr">
        <is>
          <t>ok</t>
        </is>
      </c>
      <c r="AD24" s="6" t="inlineStr">
        <is>
          <t>up</t>
        </is>
      </c>
      <c r="AE24" s="17" t="n">
        <v>74.5009</v>
      </c>
      <c r="AF24" s="17" t="n">
        <v>72.1861</v>
      </c>
      <c r="AG24" s="17" t="n">
        <v>76.8158</v>
      </c>
      <c r="AH24" s="20" t="n">
        <v>46330</v>
      </c>
      <c r="AI24" s="18" t="n">
        <v>0.55</v>
      </c>
      <c r="AJ24" s="6" t="inlineStr">
        <is>
          <t>ok</t>
        </is>
      </c>
      <c r="AK24" s="12" t="n">
        <v>0</v>
      </c>
      <c r="AL24" s="15" t="n"/>
      <c r="AM24" s="17" t="n">
        <v>73.56</v>
      </c>
      <c r="AN24" s="19" t="n">
        <v>0.0016</v>
      </c>
      <c r="AO24" s="17" t="n">
        <v>100357.58</v>
      </c>
      <c r="AP24" s="17" t="n">
        <v>12554.32</v>
      </c>
      <c r="AQ24" s="19" t="n">
        <v>0.0833</v>
      </c>
      <c r="AR24" s="16" t="n"/>
      <c r="AS24" s="17" t="n"/>
      <c r="AT24" s="19" t="n"/>
      <c r="AU24" s="6" t="inlineStr">
        <is>
          <t>paper</t>
        </is>
      </c>
      <c r="AV24" s="6" t="inlineStr">
        <is>
          <t>d54a6aee-45fb-4487-a477-f8cb923f7fd6</t>
        </is>
      </c>
      <c r="AW24" s="6" t="inlineStr">
        <is>
          <t>tdagent-buy-MO-1793200047792</t>
        </is>
      </c>
      <c r="AX24" s="13" t="n">
        <v>46323.63017361111</v>
      </c>
      <c r="AY24" s="13" t="n">
        <v>46323.63018518518</v>
      </c>
      <c r="AZ24" s="13" t="n">
        <v>46323.62954861111</v>
      </c>
      <c r="BA24" s="6" t="n"/>
    </row>
    <row r="25">
      <c r="A25" s="12" t="n">
        <v>24</v>
      </c>
      <c r="B25" s="13" t="n">
        <v>46323.67186342592</v>
      </c>
      <c r="C25" s="13" t="n">
        <v>46323.46353009259</v>
      </c>
      <c r="D25" s="13" t="n">
        <v>46323.63019675926</v>
      </c>
      <c r="E25" s="14" t="inlineStr">
        <is>
          <t>BUY</t>
        </is>
      </c>
      <c r="F25" s="6" t="inlineStr">
        <is>
          <t>KR</t>
        </is>
      </c>
      <c r="G25" s="15" t="inlineStr">
        <is>
          <t>The Kroger Co.</t>
        </is>
      </c>
      <c r="H25" s="6" t="inlineStr">
        <is>
          <t>NYSE</t>
        </is>
      </c>
      <c r="I25" s="6" t="inlineStr">
        <is>
          <t>filled</t>
        </is>
      </c>
      <c r="J25" s="16" t="n">
        <v>15.948757053</v>
      </c>
      <c r="K25" s="17" t="n">
        <v>65.56999999999999</v>
      </c>
      <c r="L25" s="17">
        <f>IF(AND(ISNUMBER(J25),ISNUMBER(K25)),J25*K25,"")</f>
        <v/>
      </c>
      <c r="M25" s="17" t="n">
        <v>1045.77</v>
      </c>
      <c r="N25" s="16" t="n"/>
      <c r="O25" s="6" t="inlineStr">
        <is>
          <t>4+/5 green</t>
        </is>
      </c>
      <c r="P25" s="15" t="inlineStr">
        <is>
          <t>5 of 5 green, time machine green, rank #5, 8.33% of the $12,554.32 free cash split 12 ways</t>
        </is>
      </c>
      <c r="Q25" s="12" t="n">
        <v>5</v>
      </c>
      <c r="R25" s="6" t="inlineStr">
        <is>
          <t>ok</t>
        </is>
      </c>
      <c r="S25" s="18" t="n">
        <v>0.605</v>
      </c>
      <c r="T25" s="12" t="n">
        <v>38</v>
      </c>
      <c r="U25" s="19" t="n">
        <v>0.0136</v>
      </c>
      <c r="V25" s="19" t="n">
        <v>-0.1395</v>
      </c>
      <c r="W25" s="12" t="n">
        <v>5</v>
      </c>
      <c r="X25" s="6" t="inlineStr">
        <is>
          <t>ok</t>
        </is>
      </c>
      <c r="Y25" s="19" t="n">
        <v>0.0002</v>
      </c>
      <c r="Z25" s="6" t="inlineStr">
        <is>
          <t>ok</t>
        </is>
      </c>
      <c r="AA25" s="12" t="n">
        <v>100</v>
      </c>
      <c r="AB25" s="15" t="n"/>
      <c r="AC25" s="6" t="inlineStr">
        <is>
          <t>ok</t>
        </is>
      </c>
      <c r="AD25" s="6" t="inlineStr">
        <is>
          <t>up</t>
        </is>
      </c>
      <c r="AE25" s="17" t="n">
        <v>66.62949999999999</v>
      </c>
      <c r="AF25" s="17" t="n">
        <v>63.9933</v>
      </c>
      <c r="AG25" s="17" t="n">
        <v>69.26560000000001</v>
      </c>
      <c r="AH25" s="20" t="n">
        <v>46330</v>
      </c>
      <c r="AI25" s="18" t="n">
        <v>0.5600000000000001</v>
      </c>
      <c r="AJ25" s="6" t="inlineStr">
        <is>
          <t>ok</t>
        </is>
      </c>
      <c r="AK25" s="12" t="n">
        <v>3</v>
      </c>
      <c r="AL25" s="15" t="inlineStr">
        <is>
          <t>Evercore Maintains Buy Rating on The Kroger Co.</t>
        </is>
      </c>
      <c r="AM25" s="17" t="n">
        <v>65.56</v>
      </c>
      <c r="AN25" s="19" t="n">
        <v>-0.0043</v>
      </c>
      <c r="AO25" s="17" t="n">
        <v>100357.58</v>
      </c>
      <c r="AP25" s="17" t="n">
        <v>12554.32</v>
      </c>
      <c r="AQ25" s="19" t="n">
        <v>0.0833</v>
      </c>
      <c r="AR25" s="16" t="n"/>
      <c r="AS25" s="17" t="n"/>
      <c r="AT25" s="19" t="n"/>
      <c r="AU25" s="6" t="inlineStr">
        <is>
          <t>paper</t>
        </is>
      </c>
      <c r="AV25" s="6" t="inlineStr">
        <is>
          <t>c3da3c32-f2c1-4d43-a318-6418c1dfd3c8</t>
        </is>
      </c>
      <c r="AW25" s="6" t="inlineStr">
        <is>
          <t>tdagent-buy-KR-1793200048071</t>
        </is>
      </c>
      <c r="AX25" s="13" t="n">
        <v>46323.63018518518</v>
      </c>
      <c r="AY25" s="13" t="n">
        <v>46323.63019675926</v>
      </c>
      <c r="AZ25" s="13" t="n">
        <v>46323.62954861111</v>
      </c>
      <c r="BA25" s="6" t="n"/>
    </row>
    <row r="26">
      <c r="A26" s="12" t="n">
        <v>25</v>
      </c>
      <c r="B26" s="13" t="n">
        <v>46323.67186342592</v>
      </c>
      <c r="C26" s="13" t="n">
        <v>46323.46353009259</v>
      </c>
      <c r="D26" s="13" t="n">
        <v>46323.63019675926</v>
      </c>
      <c r="E26" s="14" t="inlineStr">
        <is>
          <t>BUY</t>
        </is>
      </c>
      <c r="F26" s="6" t="inlineStr">
        <is>
          <t>WTW</t>
        </is>
      </c>
      <c r="G26" s="15" t="inlineStr">
        <is>
          <t>Willis Towers Watson Public Limited Company Ordinary Shares</t>
        </is>
      </c>
      <c r="H26" s="6" t="inlineStr">
        <is>
          <t>NASDAQ</t>
        </is>
      </c>
      <c r="I26" s="6" t="inlineStr">
        <is>
          <t>filled</t>
        </is>
      </c>
      <c r="J26" s="16" t="n">
        <v>3.263614517</v>
      </c>
      <c r="K26" s="17" t="n">
        <v>320.43</v>
      </c>
      <c r="L26" s="17">
        <f>IF(AND(ISNUMBER(J26),ISNUMBER(K26)),J26*K26,"")</f>
        <v/>
      </c>
      <c r="M26" s="17" t="n">
        <v>1045.77</v>
      </c>
      <c r="N26" s="16" t="n"/>
      <c r="O26" s="6" t="inlineStr">
        <is>
          <t>4+/5 green</t>
        </is>
      </c>
      <c r="P26" s="15" t="inlineStr">
        <is>
          <t>5 of 5 green, time machine green, rank #6, 8.33% of the $12,554.32 free cash split 12 ways</t>
        </is>
      </c>
      <c r="Q26" s="12" t="n">
        <v>5</v>
      </c>
      <c r="R26" s="6" t="inlineStr">
        <is>
          <t>ok</t>
        </is>
      </c>
      <c r="S26" s="18" t="n">
        <v>0.621</v>
      </c>
      <c r="T26" s="12" t="n">
        <v>29</v>
      </c>
      <c r="U26" s="19" t="n">
        <v>0.0212</v>
      </c>
      <c r="V26" s="19" t="n">
        <v>-0.1395</v>
      </c>
      <c r="W26" s="12" t="n">
        <v>6</v>
      </c>
      <c r="X26" s="6" t="inlineStr">
        <is>
          <t>ok</t>
        </is>
      </c>
      <c r="Y26" s="19" t="n">
        <v>0.0005999999999999999</v>
      </c>
      <c r="Z26" s="6" t="inlineStr">
        <is>
          <t>ok</t>
        </is>
      </c>
      <c r="AA26" s="12" t="n">
        <v>100</v>
      </c>
      <c r="AB26" s="15" t="n"/>
      <c r="AC26" s="6" t="inlineStr">
        <is>
          <t>ok</t>
        </is>
      </c>
      <c r="AD26" s="6" t="inlineStr">
        <is>
          <t>up</t>
        </is>
      </c>
      <c r="AE26" s="17" t="n">
        <v>324.7385</v>
      </c>
      <c r="AF26" s="17" t="n">
        <v>313.4173</v>
      </c>
      <c r="AG26" s="17" t="n">
        <v>336.0597</v>
      </c>
      <c r="AH26" s="20" t="n">
        <v>46330</v>
      </c>
      <c r="AI26" s="18" t="n">
        <v>0.53</v>
      </c>
      <c r="AJ26" s="6" t="inlineStr">
        <is>
          <t>ok</t>
        </is>
      </c>
      <c r="AK26" s="12" t="n">
        <v>0</v>
      </c>
      <c r="AL26" s="15" t="n"/>
      <c r="AM26" s="17" t="n">
        <v>320.21</v>
      </c>
      <c r="AN26" s="19" t="n">
        <v>0.0016</v>
      </c>
      <c r="AO26" s="17" t="n">
        <v>100357.58</v>
      </c>
      <c r="AP26" s="17" t="n">
        <v>12554.32</v>
      </c>
      <c r="AQ26" s="19" t="n">
        <v>0.0833</v>
      </c>
      <c r="AR26" s="16" t="n"/>
      <c r="AS26" s="17" t="n"/>
      <c r="AT26" s="19" t="n"/>
      <c r="AU26" s="6" t="inlineStr">
        <is>
          <t>paper</t>
        </is>
      </c>
      <c r="AV26" s="6" t="inlineStr">
        <is>
          <t>5e449b92-c7e8-4ba7-84b2-04178ba9b5a4</t>
        </is>
      </c>
      <c r="AW26" s="6" t="inlineStr">
        <is>
          <t>tdagent-buy-WTW-1793200048329</t>
        </is>
      </c>
      <c r="AX26" s="13" t="n">
        <v>46323.63018518518</v>
      </c>
      <c r="AY26" s="13" t="n">
        <v>46323.63019675926</v>
      </c>
      <c r="AZ26" s="13" t="n">
        <v>46323.62954861111</v>
      </c>
      <c r="BA26" s="6" t="n"/>
    </row>
    <row r="27">
      <c r="A27" s="12" t="n">
        <v>26</v>
      </c>
      <c r="B27" s="13" t="n">
        <v>46323.67186342592</v>
      </c>
      <c r="C27" s="13" t="n">
        <v>46323.46353009259</v>
      </c>
      <c r="D27" s="13" t="n">
        <v>46323.63019675926</v>
      </c>
      <c r="E27" s="14" t="inlineStr">
        <is>
          <t>BUY</t>
        </is>
      </c>
      <c r="F27" s="6" t="inlineStr">
        <is>
          <t>ABBV</t>
        </is>
      </c>
      <c r="G27" s="15" t="inlineStr">
        <is>
          <t>ABBVIE INC.</t>
        </is>
      </c>
      <c r="H27" s="6" t="inlineStr">
        <is>
          <t>NYSE</t>
        </is>
      </c>
      <c r="I27" s="6" t="inlineStr">
        <is>
          <t>filled</t>
        </is>
      </c>
      <c r="J27" s="16" t="n">
        <v>3.63060686</v>
      </c>
      <c r="K27" s="17" t="n">
        <v>288.04</v>
      </c>
      <c r="L27" s="17">
        <f>IF(AND(ISNUMBER(J27),ISNUMBER(K27)),J27*K27,"")</f>
        <v/>
      </c>
      <c r="M27" s="17" t="n">
        <v>1045.77</v>
      </c>
      <c r="N27" s="16" t="n"/>
      <c r="O27" s="6" t="inlineStr">
        <is>
          <t>4+/5 green</t>
        </is>
      </c>
      <c r="P27" s="15" t="inlineStr">
        <is>
          <t>4 of 5 green, time machine green, rank #8, 8.33% of the $12,554.32 free cash split 12 ways</t>
        </is>
      </c>
      <c r="Q27" s="12" t="n">
        <v>4</v>
      </c>
      <c r="R27" s="6" t="inlineStr">
        <is>
          <t>ok</t>
        </is>
      </c>
      <c r="S27" s="18" t="n">
        <v>0.667</v>
      </c>
      <c r="T27" s="12" t="n">
        <v>39</v>
      </c>
      <c r="U27" s="19" t="n">
        <v>0.0177</v>
      </c>
      <c r="V27" s="19" t="n">
        <v>-0.1395</v>
      </c>
      <c r="W27" s="12" t="n">
        <v>8</v>
      </c>
      <c r="X27" s="6" t="inlineStr">
        <is>
          <t>ok</t>
        </is>
      </c>
      <c r="Y27" s="19" t="n">
        <v>0.0005999999999999999</v>
      </c>
      <c r="Z27" s="6" t="inlineStr">
        <is>
          <t>ok</t>
        </is>
      </c>
      <c r="AA27" s="12" t="n">
        <v>100</v>
      </c>
      <c r="AB27" s="15" t="n"/>
      <c r="AC27" s="6" t="inlineStr">
        <is>
          <t>ok</t>
        </is>
      </c>
      <c r="AD27" s="6" t="inlineStr">
        <is>
          <t>up</t>
        </is>
      </c>
      <c r="AE27" s="17" t="n">
        <v>291.4779</v>
      </c>
      <c r="AF27" s="17" t="n">
        <v>283.5332</v>
      </c>
      <c r="AG27" s="17" t="n">
        <v>299.4226</v>
      </c>
      <c r="AH27" s="20" t="n">
        <v>46330</v>
      </c>
      <c r="AI27" s="18" t="n">
        <v>0.57</v>
      </c>
      <c r="AJ27" s="6" t="inlineStr">
        <is>
          <t>watch</t>
        </is>
      </c>
      <c r="AK27" s="12" t="n">
        <v>6</v>
      </c>
      <c r="AL27" s="15" t="inlineStr">
        <is>
          <t>AbbVie Submits BLA for Etentamig to FDA for Multiple Myeloma</t>
        </is>
      </c>
      <c r="AM27" s="17" t="n">
        <v>288.3</v>
      </c>
      <c r="AN27" s="19" t="n">
        <v>0.0067</v>
      </c>
      <c r="AO27" s="17" t="n">
        <v>100357.58</v>
      </c>
      <c r="AP27" s="17" t="n">
        <v>12554.32</v>
      </c>
      <c r="AQ27" s="19" t="n">
        <v>0.0833</v>
      </c>
      <c r="AR27" s="16" t="n"/>
      <c r="AS27" s="17" t="n"/>
      <c r="AT27" s="19" t="n"/>
      <c r="AU27" s="6" t="inlineStr">
        <is>
          <t>paper</t>
        </is>
      </c>
      <c r="AV27" s="6" t="inlineStr">
        <is>
          <t>8eb89be2-4ca4-45d4-910e-1f166d4d8478</t>
        </is>
      </c>
      <c r="AW27" s="6" t="inlineStr">
        <is>
          <t>tdagent-buy-ABBV-1793200048709</t>
        </is>
      </c>
      <c r="AX27" s="13" t="n">
        <v>46323.63018518518</v>
      </c>
      <c r="AY27" s="13" t="n">
        <v>46323.63019675926</v>
      </c>
      <c r="AZ27" s="13" t="n">
        <v>46323.62954861111</v>
      </c>
      <c r="BA27" s="6" t="n"/>
    </row>
    <row r="28">
      <c r="A28" s="12" t="n">
        <v>27</v>
      </c>
      <c r="B28" s="13" t="n">
        <v>46323.67188657408</v>
      </c>
      <c r="C28" s="13" t="n">
        <v>46323.46355324074</v>
      </c>
      <c r="D28" s="13" t="n">
        <v>46323.63021990741</v>
      </c>
      <c r="E28" s="14" t="inlineStr">
        <is>
          <t>BUY</t>
        </is>
      </c>
      <c r="F28" s="6" t="inlineStr">
        <is>
          <t>EQNR</t>
        </is>
      </c>
      <c r="G28" s="15" t="inlineStr">
        <is>
          <t>Equinor ASA American Depositary Shares (Each Representing One Ordinary Share, nominal value NOK 2.50 per share)</t>
        </is>
      </c>
      <c r="H28" s="6" t="inlineStr">
        <is>
          <t>NYSE</t>
        </is>
      </c>
      <c r="I28" s="6" t="inlineStr">
        <is>
          <t>filled</t>
        </is>
      </c>
      <c r="J28" s="16" t="n">
        <v>21.932885906</v>
      </c>
      <c r="K28" s="17" t="n">
        <v>47.68</v>
      </c>
      <c r="L28" s="17">
        <f>IF(AND(ISNUMBER(J28),ISNUMBER(K28)),J28*K28,"")</f>
        <v/>
      </c>
      <c r="M28" s="17" t="n">
        <v>1045.77</v>
      </c>
      <c r="N28" s="16" t="n"/>
      <c r="O28" s="6" t="inlineStr">
        <is>
          <t>4+/5 green</t>
        </is>
      </c>
      <c r="P28" s="15" t="inlineStr">
        <is>
          <t>4 of 5 green, time machine green, rank #11, 8.33% of the $12,554.32 free cash split 12 ways</t>
        </is>
      </c>
      <c r="Q28" s="12" t="n">
        <v>4</v>
      </c>
      <c r="R28" s="6" t="inlineStr">
        <is>
          <t>ok</t>
        </is>
      </c>
      <c r="S28" s="18" t="n">
        <v>0.662</v>
      </c>
      <c r="T28" s="12" t="n">
        <v>77</v>
      </c>
      <c r="U28" s="19" t="n">
        <v>0.0135</v>
      </c>
      <c r="V28" s="19" t="n">
        <v>-0.1395</v>
      </c>
      <c r="W28" s="12" t="n">
        <v>11</v>
      </c>
      <c r="X28" s="6" t="inlineStr">
        <is>
          <t>ok</t>
        </is>
      </c>
      <c r="Y28" s="19" t="n">
        <v>0.0004</v>
      </c>
      <c r="Z28" s="6" t="inlineStr">
        <is>
          <t>ok</t>
        </is>
      </c>
      <c r="AA28" s="12" t="n">
        <v>100</v>
      </c>
      <c r="AB28" s="15" t="n"/>
      <c r="AC28" s="6" t="inlineStr">
        <is>
          <t>ok</t>
        </is>
      </c>
      <c r="AD28" s="6" t="inlineStr">
        <is>
          <t>up</t>
        </is>
      </c>
      <c r="AE28" s="17" t="n">
        <v>48.5643</v>
      </c>
      <c r="AF28" s="17" t="n">
        <v>46.2786</v>
      </c>
      <c r="AG28" s="17" t="n">
        <v>50.85</v>
      </c>
      <c r="AH28" s="20" t="n">
        <v>46330</v>
      </c>
      <c r="AI28" s="18" t="n">
        <v>0.55</v>
      </c>
      <c r="AJ28" s="6" t="inlineStr">
        <is>
          <t>watch</t>
        </is>
      </c>
      <c r="AK28" s="12" t="n">
        <v>8</v>
      </c>
      <c r="AL28" s="15" t="inlineStr">
        <is>
          <t>Equinor Q3 2026 Earnings Call Transcript</t>
        </is>
      </c>
      <c r="AM28" s="17" t="n">
        <v>47.63</v>
      </c>
      <c r="AN28" s="19" t="n">
        <v>0.0129</v>
      </c>
      <c r="AO28" s="17" t="n">
        <v>100357.58</v>
      </c>
      <c r="AP28" s="17" t="n">
        <v>12554.32</v>
      </c>
      <c r="AQ28" s="19" t="n">
        <v>0.0833</v>
      </c>
      <c r="AR28" s="16" t="n"/>
      <c r="AS28" s="17" t="n"/>
      <c r="AT28" s="19" t="n"/>
      <c r="AU28" s="6" t="inlineStr">
        <is>
          <t>paper</t>
        </is>
      </c>
      <c r="AV28" s="6" t="inlineStr">
        <is>
          <t>b2ebe048-4e00-46e3-ad7e-fd294b463157</t>
        </is>
      </c>
      <c r="AW28" s="6" t="inlineStr">
        <is>
          <t>tdagent-buy-EQNR-1793200049275</t>
        </is>
      </c>
      <c r="AX28" s="13" t="n">
        <v>46323.63019675926</v>
      </c>
      <c r="AY28" s="13" t="n">
        <v>46323.63021990741</v>
      </c>
      <c r="AZ28" s="13" t="n">
        <v>46323.62954861111</v>
      </c>
      <c r="BA28" s="6" t="n"/>
    </row>
    <row r="29">
      <c r="A29" s="12" t="n">
        <v>28</v>
      </c>
      <c r="B29" s="13" t="n">
        <v>46323.671875</v>
      </c>
      <c r="C29" s="13" t="n">
        <v>46323.46354166666</v>
      </c>
      <c r="D29" s="13" t="n">
        <v>46323.63020833334</v>
      </c>
      <c r="E29" s="14" t="inlineStr">
        <is>
          <t>BUY</t>
        </is>
      </c>
      <c r="F29" s="6" t="inlineStr">
        <is>
          <t>ADP</t>
        </is>
      </c>
      <c r="G29" s="15" t="inlineStr">
        <is>
          <t>Automatic Data Processing, Inc. Common Stock</t>
        </is>
      </c>
      <c r="H29" s="6" t="inlineStr">
        <is>
          <t>NASDAQ</t>
        </is>
      </c>
      <c r="I29" s="6" t="inlineStr">
        <is>
          <t>filled</t>
        </is>
      </c>
      <c r="J29" s="16" t="n">
        <v>3.676298952</v>
      </c>
      <c r="K29" s="17" t="n">
        <v>284.46</v>
      </c>
      <c r="L29" s="17">
        <f>IF(AND(ISNUMBER(J29),ISNUMBER(K29)),J29*K29,"")</f>
        <v/>
      </c>
      <c r="M29" s="17" t="n">
        <v>1045.77</v>
      </c>
      <c r="N29" s="16" t="n"/>
      <c r="O29" s="6" t="inlineStr">
        <is>
          <t>4+/5 green</t>
        </is>
      </c>
      <c r="P29" s="15" t="inlineStr">
        <is>
          <t>4 of 5 green, time machine green, rank #12, 8.33% of the $12,554.32 free cash split 12 ways</t>
        </is>
      </c>
      <c r="Q29" s="12" t="n">
        <v>4</v>
      </c>
      <c r="R29" s="6" t="inlineStr">
        <is>
          <t>ok</t>
        </is>
      </c>
      <c r="S29" s="18" t="n">
        <v>0.648</v>
      </c>
      <c r="T29" s="12" t="n">
        <v>54</v>
      </c>
      <c r="U29" s="19" t="n">
        <v>0.0132</v>
      </c>
      <c r="V29" s="19" t="n">
        <v>-0.1395</v>
      </c>
      <c r="W29" s="12" t="n">
        <v>12</v>
      </c>
      <c r="X29" s="6" t="inlineStr">
        <is>
          <t>ok</t>
        </is>
      </c>
      <c r="Y29" s="19" t="n">
        <v>0.0018</v>
      </c>
      <c r="Z29" s="6" t="inlineStr">
        <is>
          <t>ok</t>
        </is>
      </c>
      <c r="AA29" s="12" t="n">
        <v>100</v>
      </c>
      <c r="AB29" s="15" t="n"/>
      <c r="AC29" s="6" t="inlineStr">
        <is>
          <t>ok</t>
        </is>
      </c>
      <c r="AD29" s="6" t="inlineStr">
        <is>
          <t>up</t>
        </is>
      </c>
      <c r="AE29" s="17" t="n">
        <v>288.7555</v>
      </c>
      <c r="AF29" s="17" t="n">
        <v>278.8917</v>
      </c>
      <c r="AG29" s="17" t="n">
        <v>298.6194</v>
      </c>
      <c r="AH29" s="20" t="n">
        <v>46330</v>
      </c>
      <c r="AI29" s="18" t="n">
        <v>0.5600000000000001</v>
      </c>
      <c r="AJ29" s="6" t="inlineStr">
        <is>
          <t>watch</t>
        </is>
      </c>
      <c r="AK29" s="12" t="n">
        <v>9</v>
      </c>
      <c r="AL29" s="15" t="inlineStr">
        <is>
          <t>Automatic Data Processing Q1 2027 Earnings Call Transcript</t>
        </is>
      </c>
      <c r="AM29" s="17" t="n">
        <v>284.29</v>
      </c>
      <c r="AN29" s="19" t="n">
        <v>-0.0278</v>
      </c>
      <c r="AO29" s="17" t="n">
        <v>100357.58</v>
      </c>
      <c r="AP29" s="17" t="n">
        <v>12554.32</v>
      </c>
      <c r="AQ29" s="19" t="n">
        <v>0.0833</v>
      </c>
      <c r="AR29" s="16" t="n"/>
      <c r="AS29" s="17" t="n"/>
      <c r="AT29" s="19" t="n"/>
      <c r="AU29" s="6" t="inlineStr">
        <is>
          <t>paper</t>
        </is>
      </c>
      <c r="AV29" s="6" t="inlineStr">
        <is>
          <t>ebfbb0f0-7770-43ff-9da5-d7832ec8fefe</t>
        </is>
      </c>
      <c r="AW29" s="6" t="inlineStr">
        <is>
          <t>tdagent-buy-ADP-1793200049536</t>
        </is>
      </c>
      <c r="AX29" s="13" t="n">
        <v>46323.63019675926</v>
      </c>
      <c r="AY29" s="13" t="n">
        <v>46323.63020833334</v>
      </c>
      <c r="AZ29" s="13" t="n">
        <v>46323.62954861111</v>
      </c>
      <c r="BA29" s="6" t="n"/>
    </row>
    <row r="30">
      <c r="A30" s="12" t="n">
        <v>29</v>
      </c>
      <c r="B30" s="13" t="n">
        <v>46323.67188657408</v>
      </c>
      <c r="C30" s="13" t="n">
        <v>46323.46355324074</v>
      </c>
      <c r="D30" s="13" t="n">
        <v>46323.63021990741</v>
      </c>
      <c r="E30" s="14" t="inlineStr">
        <is>
          <t>BUY</t>
        </is>
      </c>
      <c r="F30" s="6" t="inlineStr">
        <is>
          <t>CTSH</t>
        </is>
      </c>
      <c r="G30" s="15" t="inlineStr">
        <is>
          <t>Cognizant Technology Solutions Corporation Class A Common Stock</t>
        </is>
      </c>
      <c r="H30" s="6" t="inlineStr">
        <is>
          <t>NASDAQ</t>
        </is>
      </c>
      <c r="I30" s="6" t="inlineStr">
        <is>
          <t>filled</t>
        </is>
      </c>
      <c r="J30" s="16" t="n">
        <v>15.713899323</v>
      </c>
      <c r="K30" s="17" t="n">
        <v>66.55</v>
      </c>
      <c r="L30" s="17">
        <f>IF(AND(ISNUMBER(J30),ISNUMBER(K30)),J30*K30,"")</f>
        <v/>
      </c>
      <c r="M30" s="17" t="n">
        <v>1045.77</v>
      </c>
      <c r="N30" s="16" t="n"/>
      <c r="O30" s="6" t="inlineStr">
        <is>
          <t>4+/5 green</t>
        </is>
      </c>
      <c r="P30" s="15" t="inlineStr">
        <is>
          <t>4 of 5 green, time machine green, rank #13, 8.33% of the $12,554.32 free cash split 12 ways</t>
        </is>
      </c>
      <c r="Q30" s="12" t="n">
        <v>4</v>
      </c>
      <c r="R30" s="6" t="inlineStr">
        <is>
          <t>ok</t>
        </is>
      </c>
      <c r="S30" s="18" t="n">
        <v>0.587</v>
      </c>
      <c r="T30" s="12" t="n">
        <v>46</v>
      </c>
      <c r="U30" s="19" t="n">
        <v>0.0115</v>
      </c>
      <c r="V30" s="19" t="n">
        <v>-0.1395</v>
      </c>
      <c r="W30" s="12" t="n">
        <v>13</v>
      </c>
      <c r="X30" s="6" t="inlineStr">
        <is>
          <t>ok</t>
        </is>
      </c>
      <c r="Y30" s="19" t="n">
        <v>0.0003</v>
      </c>
      <c r="Z30" s="6" t="inlineStr">
        <is>
          <t>ok</t>
        </is>
      </c>
      <c r="AA30" s="12" t="n">
        <v>100</v>
      </c>
      <c r="AB30" s="15" t="n"/>
      <c r="AC30" s="6" t="inlineStr">
        <is>
          <t>ok</t>
        </is>
      </c>
      <c r="AD30" s="6" t="inlineStr">
        <is>
          <t>up</t>
        </is>
      </c>
      <c r="AE30" s="17" t="n">
        <v>68.1648</v>
      </c>
      <c r="AF30" s="17" t="n">
        <v>64.25279999999999</v>
      </c>
      <c r="AG30" s="17" t="n">
        <v>72.0767</v>
      </c>
      <c r="AH30" s="20" t="n">
        <v>46330</v>
      </c>
      <c r="AI30" s="18" t="n">
        <v>0.55</v>
      </c>
      <c r="AJ30" s="6" t="inlineStr">
        <is>
          <t>watch</t>
        </is>
      </c>
      <c r="AK30" s="12" t="n">
        <v>10</v>
      </c>
      <c r="AL30" s="15" t="inlineStr">
        <is>
          <t>Morgan Stanley Downgrades Cognizant Technology Solutions to Neutral</t>
        </is>
      </c>
      <c r="AM30" s="17" t="n">
        <v>66.58</v>
      </c>
      <c r="AN30" s="19" t="n">
        <v>0.0059</v>
      </c>
      <c r="AO30" s="17" t="n">
        <v>100357.58</v>
      </c>
      <c r="AP30" s="17" t="n">
        <v>12554.32</v>
      </c>
      <c r="AQ30" s="19" t="n">
        <v>0.0833</v>
      </c>
      <c r="AR30" s="16" t="n"/>
      <c r="AS30" s="17" t="n"/>
      <c r="AT30" s="19" t="n"/>
      <c r="AU30" s="6" t="inlineStr">
        <is>
          <t>paper</t>
        </is>
      </c>
      <c r="AV30" s="6" t="inlineStr">
        <is>
          <t>96d36240-c72a-4a79-8467-1c5b3b8d6462</t>
        </is>
      </c>
      <c r="AW30" s="6" t="inlineStr">
        <is>
          <t>tdagent-buy-CTSH-1793200049798</t>
        </is>
      </c>
      <c r="AX30" s="13" t="n">
        <v>46323.63019675926</v>
      </c>
      <c r="AY30" s="13" t="n">
        <v>46323.63021990741</v>
      </c>
      <c r="AZ30" s="13" t="n">
        <v>46323.62954861111</v>
      </c>
      <c r="BA30" s="6" t="n"/>
    </row>
    <row r="31">
      <c r="A31" s="12" t="n">
        <v>30</v>
      </c>
      <c r="B31" s="13" t="n">
        <v>46323.671875</v>
      </c>
      <c r="C31" s="13" t="n">
        <v>46323.46354166666</v>
      </c>
      <c r="D31" s="13" t="n">
        <v>46323.63020833334</v>
      </c>
      <c r="E31" s="14" t="inlineStr">
        <is>
          <t>BUY</t>
        </is>
      </c>
      <c r="F31" s="6" t="inlineStr">
        <is>
          <t>MA</t>
        </is>
      </c>
      <c r="G31" s="15" t="inlineStr">
        <is>
          <t>Mastercard Incorporated</t>
        </is>
      </c>
      <c r="H31" s="6" t="inlineStr">
        <is>
          <t>NYSE</t>
        </is>
      </c>
      <c r="I31" s="6" t="inlineStr">
        <is>
          <t>filled</t>
        </is>
      </c>
      <c r="J31" s="16" t="n">
        <v>1.704058088</v>
      </c>
      <c r="K31" s="17" t="n">
        <v>613.688</v>
      </c>
      <c r="L31" s="17">
        <f>IF(AND(ISNUMBER(J31),ISNUMBER(K31)),J31*K31,"")</f>
        <v/>
      </c>
      <c r="M31" s="17" t="n">
        <v>1045.77</v>
      </c>
      <c r="N31" s="16" t="n"/>
      <c r="O31" s="6" t="inlineStr">
        <is>
          <t>4+/5 green</t>
        </is>
      </c>
      <c r="P31" s="15" t="inlineStr">
        <is>
          <t>4 of 5 green, time machine green, rank #14, 8.33% of the $12,554.32 free cash split 12 ways</t>
        </is>
      </c>
      <c r="Q31" s="12" t="n">
        <v>4</v>
      </c>
      <c r="R31" s="6" t="inlineStr">
        <is>
          <t>ok</t>
        </is>
      </c>
      <c r="S31" s="18" t="n">
        <v>0.553</v>
      </c>
      <c r="T31" s="12" t="n">
        <v>47</v>
      </c>
      <c r="U31" s="19" t="n">
        <v>0.006500000000000001</v>
      </c>
      <c r="V31" s="19" t="n">
        <v>-0.1395</v>
      </c>
      <c r="W31" s="12" t="n">
        <v>14</v>
      </c>
      <c r="X31" s="6" t="inlineStr">
        <is>
          <t>ok</t>
        </is>
      </c>
      <c r="Y31" s="19" t="n">
        <v>0.0005999999999999999</v>
      </c>
      <c r="Z31" s="6" t="inlineStr">
        <is>
          <t>ok</t>
        </is>
      </c>
      <c r="AA31" s="12" t="n">
        <v>100</v>
      </c>
      <c r="AB31" s="15" t="n"/>
      <c r="AC31" s="6" t="inlineStr">
        <is>
          <t>ok</t>
        </is>
      </c>
      <c r="AD31" s="6" t="inlineStr">
        <is>
          <t>up</t>
        </is>
      </c>
      <c r="AE31" s="17" t="n">
        <v>620.3299</v>
      </c>
      <c r="AF31" s="17" t="n">
        <v>604.5177</v>
      </c>
      <c r="AG31" s="17" t="n">
        <v>636.1421</v>
      </c>
      <c r="AH31" s="20" t="n">
        <v>46330</v>
      </c>
      <c r="AI31" s="18" t="n">
        <v>0.57</v>
      </c>
      <c r="AJ31" s="6" t="inlineStr">
        <is>
          <t>watch</t>
        </is>
      </c>
      <c r="AK31" s="12" t="n">
        <v>8</v>
      </c>
      <c r="AL31" s="15" t="inlineStr">
        <is>
          <t>Visa Earnings Prediction Market Preview: What Will Ryan McInerney Say?</t>
        </is>
      </c>
      <c r="AM31" s="17" t="n">
        <v>613.705</v>
      </c>
      <c r="AN31" s="19" t="n">
        <v>0.0068</v>
      </c>
      <c r="AO31" s="17" t="n">
        <v>100357.58</v>
      </c>
      <c r="AP31" s="17" t="n">
        <v>12554.32</v>
      </c>
      <c r="AQ31" s="19" t="n">
        <v>0.0833</v>
      </c>
      <c r="AR31" s="16" t="n"/>
      <c r="AS31" s="17" t="n"/>
      <c r="AT31" s="19" t="n"/>
      <c r="AU31" s="6" t="inlineStr">
        <is>
          <t>paper</t>
        </is>
      </c>
      <c r="AV31" s="6" t="inlineStr">
        <is>
          <t>394e3ad3-8d54-4448-ba7c-fce04cf9d2f4</t>
        </is>
      </c>
      <c r="AW31" s="6" t="inlineStr">
        <is>
          <t>tdagent-buy-MA-1793200050051</t>
        </is>
      </c>
      <c r="AX31" s="13" t="n">
        <v>46323.63020833334</v>
      </c>
      <c r="AY31" s="13" t="n">
        <v>46323.63020833334</v>
      </c>
      <c r="AZ31" s="13" t="n">
        <v>46323.62954861111</v>
      </c>
      <c r="BA31" s="6" t="n"/>
    </row>
    <row r="32">
      <c r="A32" s="12" t="n">
        <v>31</v>
      </c>
      <c r="B32" s="13" t="n">
        <v>46323.671875</v>
      </c>
      <c r="C32" s="13" t="n">
        <v>46323.46354166666</v>
      </c>
      <c r="D32" s="13" t="n">
        <v>46323.63020833334</v>
      </c>
      <c r="E32" s="14" t="inlineStr">
        <is>
          <t>BUY</t>
        </is>
      </c>
      <c r="F32" s="6" t="inlineStr">
        <is>
          <t>CNC</t>
        </is>
      </c>
      <c r="G32" s="15" t="inlineStr">
        <is>
          <t>Centene Corporation</t>
        </is>
      </c>
      <c r="H32" s="6" t="inlineStr">
        <is>
          <t>NYSE</t>
        </is>
      </c>
      <c r="I32" s="6" t="inlineStr">
        <is>
          <t>filled</t>
        </is>
      </c>
      <c r="J32" s="16" t="n">
        <v>15.180142255</v>
      </c>
      <c r="K32" s="17" t="n">
        <v>68.89</v>
      </c>
      <c r="L32" s="17">
        <f>IF(AND(ISNUMBER(J32),ISNUMBER(K32)),J32*K32,"")</f>
        <v/>
      </c>
      <c r="M32" s="17" t="n">
        <v>1045.77</v>
      </c>
      <c r="N32" s="16" t="n"/>
      <c r="O32" s="6" t="inlineStr">
        <is>
          <t>4+/5 green</t>
        </is>
      </c>
      <c r="P32" s="15" t="inlineStr">
        <is>
          <t>4 of 5 green, time machine green, rank #15, 8.33% of the $12,554.32 free cash split 12 ways</t>
        </is>
      </c>
      <c r="Q32" s="12" t="n">
        <v>4</v>
      </c>
      <c r="R32" s="6" t="inlineStr">
        <is>
          <t>ok</t>
        </is>
      </c>
      <c r="S32" s="18" t="n">
        <v>0.5679999999999999</v>
      </c>
      <c r="T32" s="12" t="n">
        <v>44</v>
      </c>
      <c r="U32" s="19" t="n">
        <v>0.0126</v>
      </c>
      <c r="V32" s="19" t="n">
        <v>-0.1395</v>
      </c>
      <c r="W32" s="12" t="n">
        <v>15</v>
      </c>
      <c r="X32" s="6" t="inlineStr">
        <is>
          <t>ok</t>
        </is>
      </c>
      <c r="Y32" s="19" t="n">
        <v>0.0007000000000000001</v>
      </c>
      <c r="Z32" s="6" t="inlineStr">
        <is>
          <t>ok</t>
        </is>
      </c>
      <c r="AA32" s="12" t="n">
        <v>100</v>
      </c>
      <c r="AB32" s="15" t="n"/>
      <c r="AC32" s="6" t="inlineStr">
        <is>
          <t>ok</t>
        </is>
      </c>
      <c r="AD32" s="6" t="inlineStr">
        <is>
          <t>up</t>
        </is>
      </c>
      <c r="AE32" s="17" t="n">
        <v>70.1768</v>
      </c>
      <c r="AF32" s="17" t="n">
        <v>66.9598</v>
      </c>
      <c r="AG32" s="17" t="n">
        <v>73.3939</v>
      </c>
      <c r="AH32" s="20" t="n">
        <v>46330</v>
      </c>
      <c r="AI32" s="18" t="n">
        <v>0.53</v>
      </c>
      <c r="AJ32" s="6" t="inlineStr">
        <is>
          <t>watch</t>
        </is>
      </c>
      <c r="AK32" s="12" t="n">
        <v>10</v>
      </c>
      <c r="AL32" s="15" t="inlineStr">
        <is>
          <t>Cantor Fitzgerald Upgrades Centene to Overweight and Raises Price Target to $79</t>
        </is>
      </c>
      <c r="AM32" s="17" t="n">
        <v>68.94</v>
      </c>
      <c r="AN32" s="19" t="n">
        <v>0.0013</v>
      </c>
      <c r="AO32" s="17" t="n">
        <v>100357.58</v>
      </c>
      <c r="AP32" s="17" t="n">
        <v>12554.32</v>
      </c>
      <c r="AQ32" s="19" t="n">
        <v>0.0833</v>
      </c>
      <c r="AR32" s="16" t="n"/>
      <c r="AS32" s="17" t="n"/>
      <c r="AT32" s="19" t="n"/>
      <c r="AU32" s="6" t="inlineStr">
        <is>
          <t>paper</t>
        </is>
      </c>
      <c r="AV32" s="6" t="inlineStr">
        <is>
          <t>545413f4-a3a5-4501-a6a3-27a435a4337f</t>
        </is>
      </c>
      <c r="AW32" s="6" t="inlineStr">
        <is>
          <t>tdagent-buy-CNC-1793200050304</t>
        </is>
      </c>
      <c r="AX32" s="13" t="n">
        <v>46323.63020833334</v>
      </c>
      <c r="AY32" s="13" t="n">
        <v>46323.63020833334</v>
      </c>
      <c r="AZ32" s="13" t="n">
        <v>46323.62954861111</v>
      </c>
      <c r="BA32" s="6" t="n"/>
    </row>
    <row r="33">
      <c r="A33" s="12" t="n">
        <v>32</v>
      </c>
      <c r="B33" s="13" t="n">
        <v>46323.67340277778</v>
      </c>
      <c r="C33" s="13" t="n">
        <v>46323.46506944444</v>
      </c>
      <c r="D33" s="13" t="n">
        <v>46323.63173611111</v>
      </c>
      <c r="E33" s="21" t="inlineStr">
        <is>
          <t>SELL</t>
        </is>
      </c>
      <c r="F33" s="6" t="inlineStr">
        <is>
          <t>ADP</t>
        </is>
      </c>
      <c r="G33" s="15" t="inlineStr">
        <is>
          <t>ADP</t>
        </is>
      </c>
      <c r="H33" s="6" t="inlineStr">
        <is>
          <t>NASDAQ</t>
        </is>
      </c>
      <c r="I33" s="6" t="inlineStr">
        <is>
          <t>filled</t>
        </is>
      </c>
      <c r="J33" s="16" t="n">
        <v>3.676298952</v>
      </c>
      <c r="K33" s="17" t="n">
        <v>283.51</v>
      </c>
      <c r="L33" s="17">
        <f>IF(AND(ISNUMBER(J33),ISNUMBER(K33)),J33*K33,"")</f>
        <v/>
      </c>
      <c r="M33" s="17" t="n"/>
      <c r="N33" s="16" t="n">
        <v>3.676298952</v>
      </c>
      <c r="O33" s="6" t="inlineStr">
        <is>
          <t>bad day</t>
        </is>
      </c>
      <c r="P33" s="15" t="inlineStr">
        <is>
          <t>Bad day: down 3.1% today and only 4 of 5 green</t>
        </is>
      </c>
      <c r="Q33" s="12" t="n">
        <v>4</v>
      </c>
      <c r="R33" s="6" t="inlineStr">
        <is>
          <t>ok</t>
        </is>
      </c>
      <c r="S33" s="18" t="n">
        <v>0.648</v>
      </c>
      <c r="T33" s="12" t="n">
        <v>54</v>
      </c>
      <c r="U33" s="19" t="n">
        <v>0.0132</v>
      </c>
      <c r="V33" s="19" t="n">
        <v>-0.1395</v>
      </c>
      <c r="W33" s="12" t="n"/>
      <c r="X33" s="6" t="inlineStr">
        <is>
          <t>ok</t>
        </is>
      </c>
      <c r="Y33" s="19" t="n">
        <v>0.0001</v>
      </c>
      <c r="Z33" s="6" t="inlineStr">
        <is>
          <t>ok</t>
        </is>
      </c>
      <c r="AA33" s="12" t="n">
        <v>100</v>
      </c>
      <c r="AB33" s="15" t="n"/>
      <c r="AC33" s="6" t="inlineStr">
        <is>
          <t>ok</t>
        </is>
      </c>
      <c r="AD33" s="6" t="inlineStr">
        <is>
          <t>up</t>
        </is>
      </c>
      <c r="AE33" s="17" t="n">
        <v>288.361</v>
      </c>
      <c r="AF33" s="17" t="n">
        <v>278.4835</v>
      </c>
      <c r="AG33" s="17" t="n">
        <v>298.2385</v>
      </c>
      <c r="AH33" s="20" t="n">
        <v>46330</v>
      </c>
      <c r="AI33" s="18" t="n">
        <v>0.5600000000000001</v>
      </c>
      <c r="AJ33" s="6" t="inlineStr">
        <is>
          <t>watch</t>
        </is>
      </c>
      <c r="AK33" s="12" t="n">
        <v>9</v>
      </c>
      <c r="AL33" s="15" t="inlineStr">
        <is>
          <t>Automatic Data Processing Q1 2027 Earnings Call Transcript</t>
        </is>
      </c>
      <c r="AM33" s="17" t="n">
        <v>284.44</v>
      </c>
      <c r="AN33" s="19" t="n">
        <v>-0.0291</v>
      </c>
      <c r="AO33" s="17" t="n">
        <v>100436.88</v>
      </c>
      <c r="AP33" s="17" t="n">
        <v>5.2</v>
      </c>
      <c r="AQ33" s="19" t="n">
        <v>0.0833</v>
      </c>
      <c r="AR33" s="16" t="n">
        <v>3.676298952</v>
      </c>
      <c r="AS33" s="17" t="n">
        <v>284.46</v>
      </c>
      <c r="AT33" s="19" t="n">
        <v>-0.0017</v>
      </c>
      <c r="AU33" s="6" t="inlineStr">
        <is>
          <t>paper</t>
        </is>
      </c>
      <c r="AV33" s="6" t="inlineStr">
        <is>
          <t>91487c54-b2fb-4b1a-a476-77ac1f697fc3</t>
        </is>
      </c>
      <c r="AW33" s="6" t="inlineStr">
        <is>
          <t>tdagent-sell-ADP-1793200180561</t>
        </is>
      </c>
      <c r="AX33" s="13" t="n">
        <v>46323.63171296296</v>
      </c>
      <c r="AY33" s="13" t="n">
        <v>46323.63173611111</v>
      </c>
      <c r="AZ33" s="13" t="n">
        <v>46323.63150462963</v>
      </c>
      <c r="BA33" s="6" t="n"/>
    </row>
    <row r="34">
      <c r="A34" s="12" t="n">
        <v>33</v>
      </c>
      <c r="B34" s="13" t="n">
        <v>46323.67767361111</v>
      </c>
      <c r="C34" s="13" t="n">
        <v>46323.46934027778</v>
      </c>
      <c r="D34" s="13" t="n">
        <v>46323.63600694444</v>
      </c>
      <c r="E34" s="21" t="inlineStr">
        <is>
          <t>SELL</t>
        </is>
      </c>
      <c r="F34" s="6" t="inlineStr">
        <is>
          <t>MA</t>
        </is>
      </c>
      <c r="G34" s="15" t="inlineStr">
        <is>
          <t>MA</t>
        </is>
      </c>
      <c r="H34" s="6" t="inlineStr">
        <is>
          <t>NYSE</t>
        </is>
      </c>
      <c r="I34" s="6" t="inlineStr">
        <is>
          <t>filled</t>
        </is>
      </c>
      <c r="J34" s="16" t="n">
        <v>0.852029044</v>
      </c>
      <c r="K34" s="17" t="n">
        <v>614.554</v>
      </c>
      <c r="L34" s="17">
        <f>IF(AND(ISNUMBER(J34),ISNUMBER(K34)),J34*K34,"")</f>
        <v/>
      </c>
      <c r="M34" s="17" t="n"/>
      <c r="N34" s="16" t="n">
        <v>0.852029044</v>
      </c>
      <c r="O34" s="6" t="inlineStr">
        <is>
          <t>3 green: sell half</t>
        </is>
      </c>
      <c r="P34" s="15" t="inlineStr">
        <is>
          <t>3 of 5 green: start selling (half)</t>
        </is>
      </c>
      <c r="Q34" s="12" t="n">
        <v>3</v>
      </c>
      <c r="R34" s="6" t="inlineStr">
        <is>
          <t>ok</t>
        </is>
      </c>
      <c r="S34" s="18" t="n">
        <v>0.553</v>
      </c>
      <c r="T34" s="12" t="n">
        <v>47</v>
      </c>
      <c r="U34" s="19" t="n">
        <v>0.006500000000000001</v>
      </c>
      <c r="V34" s="19" t="n">
        <v>-0.1395</v>
      </c>
      <c r="W34" s="12" t="n"/>
      <c r="X34" s="6" t="inlineStr">
        <is>
          <t>ok</t>
        </is>
      </c>
      <c r="Y34" s="19" t="n">
        <v>0.0001</v>
      </c>
      <c r="Z34" s="6" t="inlineStr">
        <is>
          <t>ok</t>
        </is>
      </c>
      <c r="AA34" s="12" t="n">
        <v>100</v>
      </c>
      <c r="AB34" s="15" t="n"/>
      <c r="AC34" s="6" t="inlineStr">
        <is>
          <t>watch</t>
        </is>
      </c>
      <c r="AD34" s="6" t="inlineStr">
        <is>
          <t>flat</t>
        </is>
      </c>
      <c r="AE34" s="17" t="n">
        <v>614.625</v>
      </c>
      <c r="AF34" s="17" t="n">
        <v>598.7848</v>
      </c>
      <c r="AG34" s="17" t="n">
        <v>630.4652</v>
      </c>
      <c r="AH34" s="20" t="n">
        <v>46330</v>
      </c>
      <c r="AI34" s="18" t="n">
        <v>0.5</v>
      </c>
      <c r="AJ34" s="6" t="inlineStr">
        <is>
          <t>watch</t>
        </is>
      </c>
      <c r="AK34" s="12" t="n">
        <v>8</v>
      </c>
      <c r="AL34" s="15" t="inlineStr">
        <is>
          <t>Visa Earnings Prediction Market Preview: What Will Ryan McInerney Say?</t>
        </is>
      </c>
      <c r="AM34" s="17" t="n">
        <v>614.625</v>
      </c>
      <c r="AN34" s="19" t="n">
        <v>0.007800000000000001</v>
      </c>
      <c r="AO34" s="17" t="n">
        <v>100369.37</v>
      </c>
      <c r="AP34" s="17" t="n">
        <v>1047.47</v>
      </c>
      <c r="AQ34" s="19" t="n">
        <v>0.0833</v>
      </c>
      <c r="AR34" s="16" t="n">
        <v>1.704058088</v>
      </c>
      <c r="AS34" s="17" t="n">
        <v>613.688</v>
      </c>
      <c r="AT34" s="19" t="n">
        <v>0.0019</v>
      </c>
      <c r="AU34" s="6" t="inlineStr">
        <is>
          <t>paper</t>
        </is>
      </c>
      <c r="AV34" s="6" t="inlineStr">
        <is>
          <t>2a80a5f5-7036-429a-a454-9494a1feec10</t>
        </is>
      </c>
      <c r="AW34" s="6" t="inlineStr">
        <is>
          <t>tdagent-sell-MA-1793200550863</t>
        </is>
      </c>
      <c r="AX34" s="13" t="n">
        <v>46323.63599537037</v>
      </c>
      <c r="AY34" s="13" t="n">
        <v>46323.63600694444</v>
      </c>
      <c r="AZ34" s="13" t="n">
        <v>46323.63568287037</v>
      </c>
      <c r="BA34" s="6" t="n"/>
    </row>
    <row r="35">
      <c r="A35" s="12" t="n">
        <v>34</v>
      </c>
      <c r="B35" s="13" t="n">
        <v>46323.67767361111</v>
      </c>
      <c r="C35" s="13" t="n">
        <v>46323.46934027778</v>
      </c>
      <c r="D35" s="13" t="n">
        <v>46323.63600694444</v>
      </c>
      <c r="E35" s="14" t="inlineStr">
        <is>
          <t>BUY</t>
        </is>
      </c>
      <c r="F35" s="6" t="inlineStr">
        <is>
          <t>MPC</t>
        </is>
      </c>
      <c r="G35" s="15" t="inlineStr">
        <is>
          <t>MARATHON PETROLEUM CORPORATION</t>
        </is>
      </c>
      <c r="H35" s="6" t="inlineStr">
        <is>
          <t>NYSE</t>
        </is>
      </c>
      <c r="I35" s="6" t="inlineStr">
        <is>
          <t>filled</t>
        </is>
      </c>
      <c r="J35" s="16" t="n">
        <v>0.19946772</v>
      </c>
      <c r="K35" s="17" t="n">
        <v>437.364</v>
      </c>
      <c r="L35" s="17">
        <f>IF(AND(ISNUMBER(J35),ISNUMBER(K35)),J35*K35,"")</f>
        <v/>
      </c>
      <c r="M35" s="17" t="n">
        <v>87.25</v>
      </c>
      <c r="N35" s="16" t="n"/>
      <c r="O35" s="6" t="inlineStr">
        <is>
          <t>4+/5 green</t>
        </is>
      </c>
      <c r="P35" s="15" t="inlineStr">
        <is>
          <t>4 of 5 green, time machine green, rank #5, 8.33% of the $1,047.47 free cash split 12 ways</t>
        </is>
      </c>
      <c r="Q35" s="12" t="n">
        <v>4</v>
      </c>
      <c r="R35" s="6" t="inlineStr">
        <is>
          <t>ok</t>
        </is>
      </c>
      <c r="S35" s="18" t="n">
        <v>0.674</v>
      </c>
      <c r="T35" s="12" t="n">
        <v>86</v>
      </c>
      <c r="U35" s="19" t="n">
        <v>0.0246</v>
      </c>
      <c r="V35" s="19" t="n">
        <v>-0.1395</v>
      </c>
      <c r="W35" s="12" t="n">
        <v>5</v>
      </c>
      <c r="X35" s="6" t="inlineStr">
        <is>
          <t>ok</t>
        </is>
      </c>
      <c r="Y35" s="19" t="n">
        <v>0.0011</v>
      </c>
      <c r="Z35" s="6" t="inlineStr">
        <is>
          <t>ok</t>
        </is>
      </c>
      <c r="AA35" s="12" t="n">
        <v>80</v>
      </c>
      <c r="AB35" s="15" t="inlineStr">
        <is>
          <t>One day (-7.4%) did 74% of the 10-day move. The trend rests on a single jump.</t>
        </is>
      </c>
      <c r="AC35" s="6" t="inlineStr">
        <is>
          <t>ok</t>
        </is>
      </c>
      <c r="AD35" s="6" t="inlineStr">
        <is>
          <t>up</t>
        </is>
      </c>
      <c r="AE35" s="17" t="n">
        <v>446.2446</v>
      </c>
      <c r="AF35" s="17" t="n">
        <v>422.0831</v>
      </c>
      <c r="AG35" s="17" t="n">
        <v>470.4061</v>
      </c>
      <c r="AH35" s="20" t="n">
        <v>46330</v>
      </c>
      <c r="AI35" s="18" t="n">
        <v>0.54</v>
      </c>
      <c r="AJ35" s="6" t="inlineStr">
        <is>
          <t>watch</t>
        </is>
      </c>
      <c r="AK35" s="12" t="n">
        <v>4</v>
      </c>
      <c r="AL35" s="15" t="inlineStr">
        <is>
          <t>Refiner Stocks Suffer Worst Day Since the Tariff Shock: The Threat Is Not Cheaper Oil</t>
        </is>
      </c>
      <c r="AM35" s="17" t="n">
        <v>436.58</v>
      </c>
      <c r="AN35" s="19" t="n">
        <v>0.0015</v>
      </c>
      <c r="AO35" s="17" t="n">
        <v>100369.37</v>
      </c>
      <c r="AP35" s="17" t="n">
        <v>1047.47</v>
      </c>
      <c r="AQ35" s="19" t="n">
        <v>0.0833</v>
      </c>
      <c r="AR35" s="16" t="n"/>
      <c r="AS35" s="17" t="n"/>
      <c r="AT35" s="19" t="n"/>
      <c r="AU35" s="6" t="inlineStr">
        <is>
          <t>paper</t>
        </is>
      </c>
      <c r="AV35" s="6" t="inlineStr">
        <is>
          <t>795c1192-92f0-4087-a19e-e4a4afbb099c</t>
        </is>
      </c>
      <c r="AW35" s="6" t="inlineStr">
        <is>
          <t>tdagent-buy-MPC-1793200551740</t>
        </is>
      </c>
      <c r="AX35" s="13" t="n">
        <v>46323.63600694444</v>
      </c>
      <c r="AY35" s="13" t="n">
        <v>46323.63600694444</v>
      </c>
      <c r="AZ35" s="13" t="n">
        <v>46323.63568287037</v>
      </c>
      <c r="BA35" s="6" t="n"/>
    </row>
    <row r="36">
      <c r="A36" s="12" t="n">
        <v>35</v>
      </c>
      <c r="B36" s="13" t="n">
        <v>46323.67768518518</v>
      </c>
      <c r="C36" s="13" t="n">
        <v>46323.46935185185</v>
      </c>
      <c r="D36" s="13" t="n">
        <v>46323.63601851852</v>
      </c>
      <c r="E36" s="14" t="inlineStr">
        <is>
          <t>BUY</t>
        </is>
      </c>
      <c r="F36" s="6" t="inlineStr">
        <is>
          <t>EQT</t>
        </is>
      </c>
      <c r="G36" s="15" t="inlineStr">
        <is>
          <t>EQT CORP</t>
        </is>
      </c>
      <c r="H36" s="6" t="inlineStr">
        <is>
          <t>NYSE</t>
        </is>
      </c>
      <c r="I36" s="6" t="inlineStr">
        <is>
          <t>filled</t>
        </is>
      </c>
      <c r="J36" s="16" t="n">
        <v>1.562264961</v>
      </c>
      <c r="K36" s="17" t="n">
        <v>55.842</v>
      </c>
      <c r="L36" s="17">
        <f>IF(AND(ISNUMBER(J36),ISNUMBER(K36)),J36*K36,"")</f>
        <v/>
      </c>
      <c r="M36" s="17" t="n">
        <v>87.25</v>
      </c>
      <c r="N36" s="16" t="n"/>
      <c r="O36" s="6" t="inlineStr">
        <is>
          <t>4+/5 green</t>
        </is>
      </c>
      <c r="P36" s="15" t="inlineStr">
        <is>
          <t>4 of 5 green, time machine green, rank #6, 8.33% of the $1,047.47 free cash split 12 ways</t>
        </is>
      </c>
      <c r="Q36" s="12" t="n">
        <v>4</v>
      </c>
      <c r="R36" s="6" t="inlineStr">
        <is>
          <t>ok</t>
        </is>
      </c>
      <c r="S36" s="18" t="n">
        <v>0.552</v>
      </c>
      <c r="T36" s="12" t="n">
        <v>29</v>
      </c>
      <c r="U36" s="19" t="n">
        <v>0.0017</v>
      </c>
      <c r="V36" s="19" t="n">
        <v>-0.1395</v>
      </c>
      <c r="W36" s="12" t="n">
        <v>6</v>
      </c>
      <c r="X36" s="6" t="inlineStr">
        <is>
          <t>ok</t>
        </is>
      </c>
      <c r="Y36" s="19" t="n">
        <v>0.0004</v>
      </c>
      <c r="Z36" s="6" t="inlineStr">
        <is>
          <t>ok</t>
        </is>
      </c>
      <c r="AA36" s="12" t="n">
        <v>90</v>
      </c>
      <c r="AB36" s="15" t="inlineStr">
        <is>
          <t>Price gapped 5.1% at an open in the last week.</t>
        </is>
      </c>
      <c r="AC36" s="6" t="inlineStr">
        <is>
          <t>ok</t>
        </is>
      </c>
      <c r="AD36" s="6" t="inlineStr">
        <is>
          <t>up</t>
        </is>
      </c>
      <c r="AE36" s="17" t="n">
        <v>56.5868</v>
      </c>
      <c r="AF36" s="17" t="n">
        <v>54.5198</v>
      </c>
      <c r="AG36" s="17" t="n">
        <v>58.6539</v>
      </c>
      <c r="AH36" s="20" t="n">
        <v>46330</v>
      </c>
      <c r="AI36" s="18" t="n">
        <v>0.54</v>
      </c>
      <c r="AJ36" s="6" t="inlineStr">
        <is>
          <t>watch</t>
        </is>
      </c>
      <c r="AK36" s="12" t="n">
        <v>10</v>
      </c>
      <c r="AL36" s="15" t="inlineStr">
        <is>
          <t>UBS Maintains Buy on EQT, Lowers Price Target to $75</t>
        </is>
      </c>
      <c r="AM36" s="17" t="n">
        <v>55.78</v>
      </c>
      <c r="AN36" s="19" t="n">
        <v>-0.009399999999999999</v>
      </c>
      <c r="AO36" s="17" t="n">
        <v>100369.37</v>
      </c>
      <c r="AP36" s="17" t="n">
        <v>1047.47</v>
      </c>
      <c r="AQ36" s="19" t="n">
        <v>0.0833</v>
      </c>
      <c r="AR36" s="16" t="n"/>
      <c r="AS36" s="17" t="n"/>
      <c r="AT36" s="19" t="n"/>
      <c r="AU36" s="6" t="inlineStr">
        <is>
          <t>paper</t>
        </is>
      </c>
      <c r="AV36" s="6" t="inlineStr">
        <is>
          <t>8dda163c-11b6-4647-b796-a4421efe2a2c</t>
        </is>
      </c>
      <c r="AW36" s="6" t="inlineStr">
        <is>
          <t>tdagent-buy-EQT-1793200552082</t>
        </is>
      </c>
      <c r="AX36" s="13" t="n">
        <v>46323.63601851852</v>
      </c>
      <c r="AY36" s="13" t="n">
        <v>46323.63601851852</v>
      </c>
      <c r="AZ36" s="13" t="n">
        <v>46323.63568287037</v>
      </c>
      <c r="BA36" s="6" t="n"/>
    </row>
    <row r="37">
      <c r="A37" s="12" t="n">
        <v>36</v>
      </c>
      <c r="B37" s="13" t="n">
        <v>46323.67768518518</v>
      </c>
      <c r="C37" s="13" t="n">
        <v>46323.46935185185</v>
      </c>
      <c r="D37" s="13" t="n">
        <v>46323.63601851852</v>
      </c>
      <c r="E37" s="14" t="inlineStr">
        <is>
          <t>BUY</t>
        </is>
      </c>
      <c r="F37" s="6" t="inlineStr">
        <is>
          <t>PSX</t>
        </is>
      </c>
      <c r="G37" s="15" t="inlineStr">
        <is>
          <t>PHILLIPS 66</t>
        </is>
      </c>
      <c r="H37" s="6" t="inlineStr">
        <is>
          <t>NYSE</t>
        </is>
      </c>
      <c r="I37" s="6" t="inlineStr">
        <is>
          <t>filled</t>
        </is>
      </c>
      <c r="J37" s="16" t="n">
        <v>0.323158986</v>
      </c>
      <c r="K37" s="17" t="n">
        <v>269.96</v>
      </c>
      <c r="L37" s="17">
        <f>IF(AND(ISNUMBER(J37),ISNUMBER(K37)),J37*K37,"")</f>
        <v/>
      </c>
      <c r="M37" s="17" t="n">
        <v>87.25</v>
      </c>
      <c r="N37" s="16" t="n"/>
      <c r="O37" s="6" t="inlineStr">
        <is>
          <t>4+/5 green</t>
        </is>
      </c>
      <c r="P37" s="15" t="inlineStr">
        <is>
          <t>4 of 5 green, time machine green, rank #7, 8.33% of the $1,047.47 free cash split 12 ways</t>
        </is>
      </c>
      <c r="Q37" s="12" t="n">
        <v>4</v>
      </c>
      <c r="R37" s="6" t="inlineStr">
        <is>
          <t>ok</t>
        </is>
      </c>
      <c r="S37" s="18" t="n">
        <v>0.569</v>
      </c>
      <c r="T37" s="12" t="n">
        <v>72</v>
      </c>
      <c r="U37" s="19" t="n">
        <v>0.015</v>
      </c>
      <c r="V37" s="19" t="n">
        <v>-0.1395</v>
      </c>
      <c r="W37" s="12" t="n">
        <v>7</v>
      </c>
      <c r="X37" s="6" t="inlineStr">
        <is>
          <t>ok</t>
        </is>
      </c>
      <c r="Y37" s="19" t="n">
        <v>0.0016</v>
      </c>
      <c r="Z37" s="6" t="inlineStr">
        <is>
          <t>ok</t>
        </is>
      </c>
      <c r="AA37" s="12" t="n">
        <v>80</v>
      </c>
      <c r="AB37" s="15" t="inlineStr">
        <is>
          <t>One day (-7.0%) did 75% of the 10-day move. The trend rests on a single jump.</t>
        </is>
      </c>
      <c r="AC37" s="6" t="inlineStr">
        <is>
          <t>ok</t>
        </is>
      </c>
      <c r="AD37" s="6" t="inlineStr">
        <is>
          <t>up</t>
        </is>
      </c>
      <c r="AE37" s="17" t="n">
        <v>274.4826</v>
      </c>
      <c r="AF37" s="17" t="n">
        <v>261.9386</v>
      </c>
      <c r="AG37" s="17" t="n">
        <v>287.0267</v>
      </c>
      <c r="AH37" s="20" t="n">
        <v>46330</v>
      </c>
      <c r="AI37" s="18" t="n">
        <v>0.53</v>
      </c>
      <c r="AJ37" s="6" t="inlineStr">
        <is>
          <t>watch</t>
        </is>
      </c>
      <c r="AK37" s="12" t="n">
        <v>9</v>
      </c>
      <c r="AL37" s="15" t="inlineStr">
        <is>
          <t>Refiner Stocks Suffer Worst Day Since the Tariff Shock: The Threat Is Not Cheaper Oil</t>
        </is>
      </c>
      <c r="AM37" s="17" t="n">
        <v>269.89</v>
      </c>
      <c r="AN37" s="19" t="n">
        <v>0.004</v>
      </c>
      <c r="AO37" s="17" t="n">
        <v>100369.37</v>
      </c>
      <c r="AP37" s="17" t="n">
        <v>1047.47</v>
      </c>
      <c r="AQ37" s="19" t="n">
        <v>0.0833</v>
      </c>
      <c r="AR37" s="16" t="n"/>
      <c r="AS37" s="17" t="n"/>
      <c r="AT37" s="19" t="n"/>
      <c r="AU37" s="6" t="inlineStr">
        <is>
          <t>paper</t>
        </is>
      </c>
      <c r="AV37" s="6" t="inlineStr">
        <is>
          <t>13fe6aef-0823-407e-9dae-d781ac0376cd</t>
        </is>
      </c>
      <c r="AW37" s="6" t="inlineStr">
        <is>
          <t>tdagent-buy-PSX-1793200552421</t>
        </is>
      </c>
      <c r="AX37" s="13" t="n">
        <v>46323.63601851852</v>
      </c>
      <c r="AY37" s="13" t="n">
        <v>46323.63601851852</v>
      </c>
      <c r="AZ37" s="13" t="n">
        <v>46323.63568287037</v>
      </c>
      <c r="BA37" s="6" t="n"/>
    </row>
    <row r="38">
      <c r="A38" s="12" t="n">
        <v>37</v>
      </c>
      <c r="B38" s="13" t="n">
        <v>46323.689375</v>
      </c>
      <c r="C38" s="13" t="n">
        <v>46323.48104166667</v>
      </c>
      <c r="D38" s="13" t="n">
        <v>46323.64770833333</v>
      </c>
      <c r="E38" s="21" t="inlineStr">
        <is>
          <t>SELL</t>
        </is>
      </c>
      <c r="F38" s="6" t="inlineStr">
        <is>
          <t>CNC</t>
        </is>
      </c>
      <c r="G38" s="15" t="inlineStr">
        <is>
          <t>CNC</t>
        </is>
      </c>
      <c r="H38" s="6" t="inlineStr">
        <is>
          <t>NYSE</t>
        </is>
      </c>
      <c r="I38" s="6" t="inlineStr">
        <is>
          <t>filled</t>
        </is>
      </c>
      <c r="J38" s="16" t="n">
        <v>7.590071127</v>
      </c>
      <c r="K38" s="17" t="n">
        <v>69.01000000000001</v>
      </c>
      <c r="L38" s="17">
        <f>IF(AND(ISNUMBER(J38),ISNUMBER(K38)),J38*K38,"")</f>
        <v/>
      </c>
      <c r="M38" s="17" t="n"/>
      <c r="N38" s="16" t="n">
        <v>7.590071127</v>
      </c>
      <c r="O38" s="6" t="inlineStr">
        <is>
          <t>3 green: sell half</t>
        </is>
      </c>
      <c r="P38" s="15" t="inlineStr">
        <is>
          <t>3 of 5 green: start selling (half)</t>
        </is>
      </c>
      <c r="Q38" s="12" t="n">
        <v>3</v>
      </c>
      <c r="R38" s="6" t="inlineStr">
        <is>
          <t>ok</t>
        </is>
      </c>
      <c r="S38" s="18" t="n">
        <v>0.5679999999999999</v>
      </c>
      <c r="T38" s="12" t="n">
        <v>44</v>
      </c>
      <c r="U38" s="19" t="n">
        <v>0.0126</v>
      </c>
      <c r="V38" s="19" t="n">
        <v>-0.1395</v>
      </c>
      <c r="W38" s="12" t="n"/>
      <c r="X38" s="6" t="inlineStr">
        <is>
          <t>watch</t>
        </is>
      </c>
      <c r="Y38" s="19" t="n">
        <v>0.009599999999999999</v>
      </c>
      <c r="Z38" s="6" t="inlineStr">
        <is>
          <t>ok</t>
        </is>
      </c>
      <c r="AA38" s="12" t="n">
        <v>100</v>
      </c>
      <c r="AB38" s="15" t="n"/>
      <c r="AC38" s="6" t="inlineStr">
        <is>
          <t>ok</t>
        </is>
      </c>
      <c r="AD38" s="6" t="inlineStr">
        <is>
          <t>up</t>
        </is>
      </c>
      <c r="AE38" s="17" t="n">
        <v>70.3807</v>
      </c>
      <c r="AF38" s="17" t="n">
        <v>67.15389999999999</v>
      </c>
      <c r="AG38" s="17" t="n">
        <v>73.60760000000001</v>
      </c>
      <c r="AH38" s="20" t="n">
        <v>46330</v>
      </c>
      <c r="AI38" s="18" t="n">
        <v>0.53</v>
      </c>
      <c r="AJ38" s="6" t="inlineStr">
        <is>
          <t>watch</t>
        </is>
      </c>
      <c r="AK38" s="12" t="n">
        <v>10</v>
      </c>
      <c r="AL38" s="15" t="inlineStr">
        <is>
          <t>Cantor Fitzgerald Upgrades Centene to Overweight and Raises Price Target to $79</t>
        </is>
      </c>
      <c r="AM38" s="17" t="n">
        <v>69.09</v>
      </c>
      <c r="AN38" s="19" t="n">
        <v>0.0042</v>
      </c>
      <c r="AO38" s="17" t="n">
        <v>100387.39</v>
      </c>
      <c r="AP38" s="17" t="n">
        <v>1309.37</v>
      </c>
      <c r="AQ38" s="19" t="n">
        <v>0.0833</v>
      </c>
      <c r="AR38" s="16" t="n">
        <v>15.180142255</v>
      </c>
      <c r="AS38" s="17" t="n">
        <v>68.89</v>
      </c>
      <c r="AT38" s="19" t="n">
        <v>0.0021</v>
      </c>
      <c r="AU38" s="6" t="inlineStr">
        <is>
          <t>paper</t>
        </is>
      </c>
      <c r="AV38" s="6" t="inlineStr">
        <is>
          <t>3b93b9ef-5e93-4cd1-a10b-1cea19899888</t>
        </is>
      </c>
      <c r="AW38" s="6" t="inlineStr">
        <is>
          <t>tdagent-sell-CNC-1793201560611</t>
        </is>
      </c>
      <c r="AX38" s="13" t="n">
        <v>46323.64768518518</v>
      </c>
      <c r="AY38" s="13" t="n">
        <v>46323.64770833333</v>
      </c>
      <c r="AZ38" s="13" t="n">
        <v>46323.64743055555</v>
      </c>
      <c r="BA38" s="6" t="n"/>
    </row>
    <row r="39">
      <c r="A39" s="12" t="n">
        <v>38</v>
      </c>
      <c r="B39" s="13" t="n">
        <v>46323.68936342592</v>
      </c>
      <c r="C39" s="13" t="n">
        <v>46323.48103009259</v>
      </c>
      <c r="D39" s="13" t="n">
        <v>46323.64769675926</v>
      </c>
      <c r="E39" s="14" t="inlineStr">
        <is>
          <t>BUY</t>
        </is>
      </c>
      <c r="F39" s="6" t="inlineStr">
        <is>
          <t>DINO</t>
        </is>
      </c>
      <c r="G39" s="15" t="inlineStr">
        <is>
          <t>HF Sinclair Corporation</t>
        </is>
      </c>
      <c r="H39" s="6" t="inlineStr">
        <is>
          <t>NYSE</t>
        </is>
      </c>
      <c r="I39" s="6" t="inlineStr">
        <is>
          <t>filled</t>
        </is>
      </c>
      <c r="J39" s="16" t="n">
        <v>0.973941309</v>
      </c>
      <c r="K39" s="17" t="n">
        <v>111.978</v>
      </c>
      <c r="L39" s="17">
        <f>IF(AND(ISNUMBER(J39),ISNUMBER(K39)),J39*K39,"")</f>
        <v/>
      </c>
      <c r="M39" s="17" t="n">
        <v>109.07</v>
      </c>
      <c r="N39" s="16" t="n"/>
      <c r="O39" s="6" t="inlineStr">
        <is>
          <t>4+/5 green</t>
        </is>
      </c>
      <c r="P39" s="15" t="inlineStr">
        <is>
          <t>4 of 5 green, time machine green, rank #5, 8.33% of the $1,309.37 free cash split 12 ways</t>
        </is>
      </c>
      <c r="Q39" s="12" t="n">
        <v>4</v>
      </c>
      <c r="R39" s="6" t="inlineStr">
        <is>
          <t>ok</t>
        </is>
      </c>
      <c r="S39" s="18" t="n">
        <v>0.6</v>
      </c>
      <c r="T39" s="12" t="n">
        <v>70</v>
      </c>
      <c r="U39" s="19" t="n">
        <v>0.0194</v>
      </c>
      <c r="V39" s="19" t="n">
        <v>-0.1395</v>
      </c>
      <c r="W39" s="12" t="n">
        <v>5</v>
      </c>
      <c r="X39" s="6" t="inlineStr">
        <is>
          <t>ok</t>
        </is>
      </c>
      <c r="Y39" s="19" t="n">
        <v>0.0028</v>
      </c>
      <c r="Z39" s="6" t="inlineStr">
        <is>
          <t>ok</t>
        </is>
      </c>
      <c r="AA39" s="12" t="n">
        <v>80</v>
      </c>
      <c r="AB39" s="15" t="inlineStr">
        <is>
          <t>One day (-8.9%) did 73% of the 10-day move. The trend rests on a single jump.</t>
        </is>
      </c>
      <c r="AC39" s="6" t="inlineStr">
        <is>
          <t>ok</t>
        </is>
      </c>
      <c r="AD39" s="6" t="inlineStr">
        <is>
          <t>up</t>
        </is>
      </c>
      <c r="AE39" s="17" t="n">
        <v>114.8338</v>
      </c>
      <c r="AF39" s="17" t="n">
        <v>108.2243</v>
      </c>
      <c r="AG39" s="17" t="n">
        <v>121.4432</v>
      </c>
      <c r="AH39" s="20" t="n">
        <v>46330</v>
      </c>
      <c r="AI39" s="18" t="n">
        <v>0.53</v>
      </c>
      <c r="AJ39" s="6" t="inlineStr">
        <is>
          <t>watch</t>
        </is>
      </c>
      <c r="AK39" s="12" t="n">
        <v>10</v>
      </c>
      <c r="AL39" s="15" t="inlineStr">
        <is>
          <t>HF Sinclair Q3 2026 Earnings Call Transcript</t>
        </is>
      </c>
      <c r="AM39" s="17" t="n">
        <v>112.31</v>
      </c>
      <c r="AN39" s="19" t="n">
        <v>-0.0169</v>
      </c>
      <c r="AO39" s="17" t="n">
        <v>100387.39</v>
      </c>
      <c r="AP39" s="17" t="n">
        <v>1309.37</v>
      </c>
      <c r="AQ39" s="19" t="n">
        <v>0.0833</v>
      </c>
      <c r="AR39" s="16" t="n"/>
      <c r="AS39" s="17" t="n"/>
      <c r="AT39" s="19" t="n"/>
      <c r="AU39" s="6" t="inlineStr">
        <is>
          <t>paper</t>
        </is>
      </c>
      <c r="AV39" s="6" t="inlineStr">
        <is>
          <t>f522894d-4a29-4dac-9deb-1e6b36780c89</t>
        </is>
      </c>
      <c r="AW39" s="6" t="inlineStr">
        <is>
          <t>tdagent-buy-DINO-1793201561401</t>
        </is>
      </c>
      <c r="AX39" s="13" t="n">
        <v>46323.64769675926</v>
      </c>
      <c r="AY39" s="13" t="n">
        <v>46323.64769675926</v>
      </c>
      <c r="AZ39" s="13" t="n">
        <v>46323.64743055555</v>
      </c>
      <c r="BA39" s="6" t="n"/>
    </row>
    <row r="40">
      <c r="A40" s="12" t="n">
        <v>39</v>
      </c>
      <c r="B40" s="13" t="n">
        <v>46323.69346064814</v>
      </c>
      <c r="C40" s="13" t="n">
        <v>46323.48512731482</v>
      </c>
      <c r="D40" s="13" t="n">
        <v>46323.65179398148</v>
      </c>
      <c r="E40" s="21" t="inlineStr">
        <is>
          <t>SELL</t>
        </is>
      </c>
      <c r="F40" s="6" t="inlineStr">
        <is>
          <t>DINO</t>
        </is>
      </c>
      <c r="G40" s="15" t="inlineStr">
        <is>
          <t>DINO</t>
        </is>
      </c>
      <c r="H40" s="6" t="inlineStr">
        <is>
          <t>NYSE</t>
        </is>
      </c>
      <c r="I40" s="6" t="inlineStr">
        <is>
          <t>filled</t>
        </is>
      </c>
      <c r="J40" s="16" t="n">
        <v>0.486970654</v>
      </c>
      <c r="K40" s="17" t="n">
        <v>111.736</v>
      </c>
      <c r="L40" s="17">
        <f>IF(AND(ISNUMBER(J40),ISNUMBER(K40)),J40*K40,"")</f>
        <v/>
      </c>
      <c r="M40" s="17" t="n"/>
      <c r="N40" s="16" t="n">
        <v>0.486970654</v>
      </c>
      <c r="O40" s="6" t="inlineStr">
        <is>
          <t>3 green: sell half</t>
        </is>
      </c>
      <c r="P40" s="15" t="inlineStr">
        <is>
          <t>3 of 5 green: start selling (half)</t>
        </is>
      </c>
      <c r="Q40" s="12" t="n">
        <v>3</v>
      </c>
      <c r="R40" s="6" t="inlineStr">
        <is>
          <t>ok</t>
        </is>
      </c>
      <c r="S40" s="18" t="n">
        <v>0.6</v>
      </c>
      <c r="T40" s="12" t="n">
        <v>70</v>
      </c>
      <c r="U40" s="19" t="n">
        <v>0.0194</v>
      </c>
      <c r="V40" s="19" t="n">
        <v>-0.1395</v>
      </c>
      <c r="W40" s="12" t="n"/>
      <c r="X40" s="6" t="inlineStr">
        <is>
          <t>ok</t>
        </is>
      </c>
      <c r="Y40" s="19" t="n">
        <v>0.0004</v>
      </c>
      <c r="Z40" s="6" t="inlineStr">
        <is>
          <t>ok</t>
        </is>
      </c>
      <c r="AA40" s="12" t="n">
        <v>80</v>
      </c>
      <c r="AB40" s="15" t="inlineStr">
        <is>
          <t>One day (-8.9%) did 72% of the 10-day move. The trend rests on a single jump.</t>
        </is>
      </c>
      <c r="AC40" s="6" t="inlineStr">
        <is>
          <t>watch</t>
        </is>
      </c>
      <c r="AD40" s="6" t="inlineStr">
        <is>
          <t>flat</t>
        </is>
      </c>
      <c r="AE40" s="17" t="n">
        <v>111.92</v>
      </c>
      <c r="AF40" s="17" t="n">
        <v>105.318</v>
      </c>
      <c r="AG40" s="17" t="n">
        <v>118.522</v>
      </c>
      <c r="AH40" s="20" t="n">
        <v>46330</v>
      </c>
      <c r="AI40" s="18" t="n">
        <v>0.5</v>
      </c>
      <c r="AJ40" s="6" t="inlineStr">
        <is>
          <t>watch</t>
        </is>
      </c>
      <c r="AK40" s="12" t="n">
        <v>10</v>
      </c>
      <c r="AL40" s="15" t="inlineStr">
        <is>
          <t>HF Sinclair Q3 2026 Earnings Call Transcript</t>
        </is>
      </c>
      <c r="AM40" s="17" t="n">
        <v>111.92</v>
      </c>
      <c r="AN40" s="19" t="n">
        <v>-0.0193</v>
      </c>
      <c r="AO40" s="17" t="n">
        <v>100311.45</v>
      </c>
      <c r="AP40" s="17" t="n">
        <v>1724.1</v>
      </c>
      <c r="AQ40" s="19" t="n">
        <v>0.0833</v>
      </c>
      <c r="AR40" s="16" t="n">
        <v>0.973941309</v>
      </c>
      <c r="AS40" s="17" t="n">
        <v>111.978</v>
      </c>
      <c r="AT40" s="19" t="n">
        <v>-0.0015</v>
      </c>
      <c r="AU40" s="6" t="inlineStr">
        <is>
          <t>paper</t>
        </is>
      </c>
      <c r="AV40" s="6" t="inlineStr">
        <is>
          <t>b7e8fde4-772d-45c4-baa3-f36239fb4db9</t>
        </is>
      </c>
      <c r="AW40" s="6" t="inlineStr">
        <is>
          <t>tdagent-sell-DINO-1793201915224</t>
        </is>
      </c>
      <c r="AX40" s="13" t="n">
        <v>46323.65179398148</v>
      </c>
      <c r="AY40" s="13" t="n">
        <v>46323.65179398148</v>
      </c>
      <c r="AZ40" s="13" t="n">
        <v>46323.65157407407</v>
      </c>
      <c r="BA40" s="6" t="n"/>
    </row>
    <row r="41">
      <c r="A41" s="12" t="n">
        <v>40</v>
      </c>
      <c r="B41" s="13" t="n">
        <v>46323.70951388889</v>
      </c>
      <c r="C41" s="13" t="n">
        <v>46323.50118055556</v>
      </c>
      <c r="D41" s="13" t="n">
        <v>46323.66784722222</v>
      </c>
      <c r="E41" s="14" t="inlineStr">
        <is>
          <t>BUY</t>
        </is>
      </c>
      <c r="F41" s="6" t="inlineStr">
        <is>
          <t>LLY</t>
        </is>
      </c>
      <c r="G41" s="15" t="inlineStr">
        <is>
          <t>Eli Lilly &amp; Co.</t>
        </is>
      </c>
      <c r="H41" s="6" t="inlineStr">
        <is>
          <t>NYSE</t>
        </is>
      </c>
      <c r="I41" s="6" t="inlineStr">
        <is>
          <t>filled</t>
        </is>
      </c>
      <c r="J41" s="16" t="n">
        <v>0.114688452</v>
      </c>
      <c r="K41" s="17" t="n">
        <v>1291.586</v>
      </c>
      <c r="L41" s="17">
        <f>IF(AND(ISNUMBER(J41),ISNUMBER(K41)),J41*K41,"")</f>
        <v/>
      </c>
      <c r="M41" s="17" t="n">
        <v>148.14</v>
      </c>
      <c r="N41" s="16" t="n"/>
      <c r="O41" s="6" t="inlineStr">
        <is>
          <t>4+/5 green</t>
        </is>
      </c>
      <c r="P41" s="15" t="inlineStr">
        <is>
          <t>4 of 5 green, time machine green, rank #5, 8.33% of the $1,778.51 free cash split 12 ways</t>
        </is>
      </c>
      <c r="Q41" s="12" t="n">
        <v>4</v>
      </c>
      <c r="R41" s="6" t="inlineStr">
        <is>
          <t>ok</t>
        </is>
      </c>
      <c r="S41" s="18" t="n">
        <v>0.574</v>
      </c>
      <c r="T41" s="12" t="n">
        <v>68</v>
      </c>
      <c r="U41" s="19" t="n">
        <v>0.0075</v>
      </c>
      <c r="V41" s="19" t="n">
        <v>-0.1395</v>
      </c>
      <c r="W41" s="12" t="n">
        <v>5</v>
      </c>
      <c r="X41" s="6" t="inlineStr">
        <is>
          <t>ok</t>
        </is>
      </c>
      <c r="Y41" s="19" t="n">
        <v>0.0005999999999999999</v>
      </c>
      <c r="Z41" s="6" t="inlineStr">
        <is>
          <t>ok</t>
        </is>
      </c>
      <c r="AA41" s="12" t="n">
        <v>100</v>
      </c>
      <c r="AB41" s="15" t="n"/>
      <c r="AC41" s="6" t="inlineStr">
        <is>
          <t>ok</t>
        </is>
      </c>
      <c r="AD41" s="6" t="inlineStr">
        <is>
          <t>up</t>
        </is>
      </c>
      <c r="AE41" s="17" t="n">
        <v>1312.6967</v>
      </c>
      <c r="AF41" s="17" t="n">
        <v>1259.8799</v>
      </c>
      <c r="AG41" s="17" t="n">
        <v>1365.5136</v>
      </c>
      <c r="AH41" s="20" t="n">
        <v>46330</v>
      </c>
      <c r="AI41" s="18" t="n">
        <v>0.55</v>
      </c>
      <c r="AJ41" s="6" t="inlineStr">
        <is>
          <t>watch</t>
        </is>
      </c>
      <c r="AK41" s="12" t="n">
        <v>10</v>
      </c>
      <c r="AL41" s="15" t="inlineStr">
        <is>
          <t>Top Wall Street Forecasters Revamp Eli Lilly Expectations Ahead Of Q3 Earnings</t>
        </is>
      </c>
      <c r="AM41" s="17" t="n">
        <v>1291.56</v>
      </c>
      <c r="AN41" s="19" t="n">
        <v>0.007800000000000001</v>
      </c>
      <c r="AO41" s="17" t="n">
        <v>100276.25</v>
      </c>
      <c r="AP41" s="17" t="n">
        <v>1778.51</v>
      </c>
      <c r="AQ41" s="19" t="n">
        <v>0.0833</v>
      </c>
      <c r="AR41" s="16" t="n"/>
      <c r="AS41" s="17" t="n"/>
      <c r="AT41" s="19" t="n"/>
      <c r="AU41" s="6" t="inlineStr">
        <is>
          <t>paper</t>
        </is>
      </c>
      <c r="AV41" s="6" t="inlineStr">
        <is>
          <t>a897d815-b832-49ce-9b72-e2ae4abe5680</t>
        </is>
      </c>
      <c r="AW41" s="6" t="inlineStr">
        <is>
          <t>tdagent-buy-LLY-1793203302691</t>
        </is>
      </c>
      <c r="AX41" s="13" t="n">
        <v>46323.66784722222</v>
      </c>
      <c r="AY41" s="13" t="n">
        <v>46323.66784722222</v>
      </c>
      <c r="AZ41" s="13" t="n">
        <v>46323.6675462963</v>
      </c>
      <c r="BA41" s="6" t="n"/>
    </row>
    <row r="42">
      <c r="A42" s="12" t="n">
        <v>41</v>
      </c>
      <c r="B42" s="13" t="n">
        <v>46323.72341435185</v>
      </c>
      <c r="C42" s="13" t="n">
        <v>46323.51508101852</v>
      </c>
      <c r="D42" s="13" t="n">
        <v>46323.68174768519</v>
      </c>
      <c r="E42" s="14" t="inlineStr">
        <is>
          <t>BUY</t>
        </is>
      </c>
      <c r="F42" s="6" t="inlineStr">
        <is>
          <t>REGN</t>
        </is>
      </c>
      <c r="G42" s="15" t="inlineStr">
        <is>
          <t>Regeneron Pharmaceuticals, Inc. Common Stock</t>
        </is>
      </c>
      <c r="H42" s="6" t="inlineStr">
        <is>
          <t>NASDAQ</t>
        </is>
      </c>
      <c r="I42" s="6" t="inlineStr">
        <is>
          <t>filled</t>
        </is>
      </c>
      <c r="J42" s="16" t="n">
        <v>0.167361335</v>
      </c>
      <c r="K42" s="17" t="n">
        <v>811.418</v>
      </c>
      <c r="L42" s="17">
        <f>IF(AND(ISNUMBER(J42),ISNUMBER(K42)),J42*K42,"")</f>
        <v/>
      </c>
      <c r="M42" s="17" t="n">
        <v>135.81</v>
      </c>
      <c r="N42" s="16" t="n"/>
      <c r="O42" s="6" t="inlineStr">
        <is>
          <t>4+/5 green</t>
        </is>
      </c>
      <c r="P42" s="15" t="inlineStr">
        <is>
          <t>5 of 5 green, time machine green, rank #4, 8.33% of the $1,630.38 free cash split 12 ways</t>
        </is>
      </c>
      <c r="Q42" s="12" t="n">
        <v>5</v>
      </c>
      <c r="R42" s="6" t="inlineStr">
        <is>
          <t>ok</t>
        </is>
      </c>
      <c r="S42" s="18" t="n">
        <v>0.59</v>
      </c>
      <c r="T42" s="12" t="n">
        <v>39</v>
      </c>
      <c r="U42" s="19" t="n">
        <v>0.0069</v>
      </c>
      <c r="V42" s="19" t="n">
        <v>-0.1395</v>
      </c>
      <c r="W42" s="12" t="n">
        <v>4</v>
      </c>
      <c r="X42" s="6" t="inlineStr">
        <is>
          <t>ok</t>
        </is>
      </c>
      <c r="Y42" s="19" t="n">
        <v>0</v>
      </c>
      <c r="Z42" s="6" t="inlineStr">
        <is>
          <t>ok</t>
        </is>
      </c>
      <c r="AA42" s="12" t="n">
        <v>100</v>
      </c>
      <c r="AB42" s="15" t="n"/>
      <c r="AC42" s="6" t="inlineStr">
        <is>
          <t>ok</t>
        </is>
      </c>
      <c r="AD42" s="6" t="inlineStr">
        <is>
          <t>up</t>
        </is>
      </c>
      <c r="AE42" s="17" t="n">
        <v>823.0616</v>
      </c>
      <c r="AF42" s="17" t="n">
        <v>791.8951</v>
      </c>
      <c r="AG42" s="17" t="n">
        <v>854.228</v>
      </c>
      <c r="AH42" s="20" t="n">
        <v>46330</v>
      </c>
      <c r="AI42" s="18" t="n">
        <v>0.53</v>
      </c>
      <c r="AJ42" s="6" t="inlineStr">
        <is>
          <t>ok</t>
        </is>
      </c>
      <c r="AK42" s="12" t="n">
        <v>4</v>
      </c>
      <c r="AL42" s="15" t="inlineStr">
        <is>
          <t>Evercore ISI Adjusts Price Target on Regeneron Pharmaceuticals to $850 From $900</t>
        </is>
      </c>
      <c r="AM42" s="17" t="n">
        <v>810.595</v>
      </c>
      <c r="AN42" s="19" t="n">
        <v>-0.0066</v>
      </c>
      <c r="AO42" s="17" t="n">
        <v>100130.89</v>
      </c>
      <c r="AP42" s="17" t="n">
        <v>1630.38</v>
      </c>
      <c r="AQ42" s="19" t="n">
        <v>0.0833</v>
      </c>
      <c r="AR42" s="16" t="n"/>
      <c r="AS42" s="17" t="n"/>
      <c r="AT42" s="19" t="n"/>
      <c r="AU42" s="6" t="inlineStr">
        <is>
          <t>paper</t>
        </is>
      </c>
      <c r="AV42" s="6" t="inlineStr">
        <is>
          <t>dda46246-83f4-40ff-853e-79415343124a</t>
        </is>
      </c>
      <c r="AW42" s="6" t="inlineStr">
        <is>
          <t>tdagent-buy-REGN-1793204503400</t>
        </is>
      </c>
      <c r="AX42" s="13" t="n">
        <v>46323.68174768519</v>
      </c>
      <c r="AY42" s="13" t="n">
        <v>46323.68174768519</v>
      </c>
      <c r="AZ42" s="13" t="n">
        <v>46323.68159722222</v>
      </c>
      <c r="BA42" s="6" t="n"/>
    </row>
    <row r="43">
      <c r="A43" s="12" t="n">
        <v>42</v>
      </c>
      <c r="B43" s="13" t="n">
        <v>46323.74836805555</v>
      </c>
      <c r="C43" s="13" t="n">
        <v>46323.54003472222</v>
      </c>
      <c r="D43" s="13" t="n">
        <v>46323.70670138889</v>
      </c>
      <c r="E43" s="21" t="inlineStr">
        <is>
          <t>SELL</t>
        </is>
      </c>
      <c r="F43" s="6" t="inlineStr">
        <is>
          <t>REGN</t>
        </is>
      </c>
      <c r="G43" s="15" t="inlineStr">
        <is>
          <t>REGN</t>
        </is>
      </c>
      <c r="H43" s="6" t="inlineStr">
        <is>
          <t>NASDAQ</t>
        </is>
      </c>
      <c r="I43" s="6" t="inlineStr">
        <is>
          <t>filled</t>
        </is>
      </c>
      <c r="J43" s="16" t="n">
        <v>0.083680667</v>
      </c>
      <c r="K43" s="17" t="n">
        <v>812.398</v>
      </c>
      <c r="L43" s="17">
        <f>IF(AND(ISNUMBER(J43),ISNUMBER(K43)),J43*K43,"")</f>
        <v/>
      </c>
      <c r="M43" s="17" t="n"/>
      <c r="N43" s="16" t="n">
        <v>0.083680667</v>
      </c>
      <c r="O43" s="6" t="inlineStr">
        <is>
          <t>3 green: sell half</t>
        </is>
      </c>
      <c r="P43" s="15" t="inlineStr">
        <is>
          <t>3 of 5 green: start selling (half)</t>
        </is>
      </c>
      <c r="Q43" s="12" t="n">
        <v>3</v>
      </c>
      <c r="R43" s="6" t="inlineStr">
        <is>
          <t>ok</t>
        </is>
      </c>
      <c r="S43" s="18" t="n">
        <v>0.59</v>
      </c>
      <c r="T43" s="12" t="n">
        <v>39</v>
      </c>
      <c r="U43" s="19" t="n">
        <v>0.0069</v>
      </c>
      <c r="V43" s="19" t="n">
        <v>-0.1395</v>
      </c>
      <c r="W43" s="12" t="n"/>
      <c r="X43" s="6" t="inlineStr">
        <is>
          <t>ok</t>
        </is>
      </c>
      <c r="Y43" s="19" t="n">
        <v>0.0005</v>
      </c>
      <c r="Z43" s="6" t="inlineStr">
        <is>
          <t>ok</t>
        </is>
      </c>
      <c r="AA43" s="12" t="n">
        <v>100</v>
      </c>
      <c r="AB43" s="15" t="n"/>
      <c r="AC43" s="6" t="inlineStr">
        <is>
          <t>watch</t>
        </is>
      </c>
      <c r="AD43" s="6" t="inlineStr">
        <is>
          <t>flat</t>
        </is>
      </c>
      <c r="AE43" s="17" t="n">
        <v>812.63</v>
      </c>
      <c r="AF43" s="17" t="n">
        <v>781.4143</v>
      </c>
      <c r="AG43" s="17" t="n">
        <v>843.8457</v>
      </c>
      <c r="AH43" s="20" t="n">
        <v>46330</v>
      </c>
      <c r="AI43" s="18" t="n">
        <v>0.5</v>
      </c>
      <c r="AJ43" s="6" t="inlineStr">
        <is>
          <t>watch</t>
        </is>
      </c>
      <c r="AK43" s="12" t="n">
        <v>8</v>
      </c>
      <c r="AL43" s="15" t="inlineStr">
        <is>
          <t>Evercore ISI Adjusts Price Target on Regeneron Pharmaceuticals to $850 From $900</t>
        </is>
      </c>
      <c r="AM43" s="17" t="n">
        <v>812.63</v>
      </c>
      <c r="AN43" s="19" t="n">
        <v>-0.004099999999999999</v>
      </c>
      <c r="AO43" s="17" t="n">
        <v>100128.62</v>
      </c>
      <c r="AP43" s="17" t="n">
        <v>1494.58</v>
      </c>
      <c r="AQ43" s="19" t="n">
        <v>0.0833</v>
      </c>
      <c r="AR43" s="16" t="n">
        <v>0.167361335</v>
      </c>
      <c r="AS43" s="17" t="n">
        <v>811.418</v>
      </c>
      <c r="AT43" s="19" t="n">
        <v>0.0016</v>
      </c>
      <c r="AU43" s="6" t="inlineStr">
        <is>
          <t>paper</t>
        </is>
      </c>
      <c r="AV43" s="6" t="inlineStr">
        <is>
          <t>69cfbe81-3a03-4c37-bc49-4bd1b9359e83</t>
        </is>
      </c>
      <c r="AW43" s="6" t="inlineStr">
        <is>
          <t>tdagent-sell-REGN-1793206659665</t>
        </is>
      </c>
      <c r="AX43" s="13" t="n">
        <v>46323.70670138889</v>
      </c>
      <c r="AY43" s="13" t="n">
        <v>46323.70670138889</v>
      </c>
      <c r="AZ43" s="13" t="n">
        <v>46323.7065625</v>
      </c>
      <c r="BA43" s="6" t="n"/>
    </row>
    <row r="44">
      <c r="A44" s="12" t="n">
        <v>43</v>
      </c>
      <c r="B44" s="13" t="n">
        <v>46323.74836805555</v>
      </c>
      <c r="C44" s="13" t="n">
        <v>46323.54003472222</v>
      </c>
      <c r="D44" s="13" t="n">
        <v>46323.70670138889</v>
      </c>
      <c r="E44" s="14" t="inlineStr">
        <is>
          <t>BUY</t>
        </is>
      </c>
      <c r="F44" s="6" t="inlineStr">
        <is>
          <t>SO</t>
        </is>
      </c>
      <c r="G44" s="15" t="inlineStr">
        <is>
          <t>The Southern Company</t>
        </is>
      </c>
      <c r="H44" s="6" t="inlineStr">
        <is>
          <t>NYSE</t>
        </is>
      </c>
      <c r="I44" s="6" t="inlineStr">
        <is>
          <t>filled</t>
        </is>
      </c>
      <c r="J44" s="16" t="n">
        <v>1.348382763</v>
      </c>
      <c r="K44" s="17" t="n">
        <v>92.318</v>
      </c>
      <c r="L44" s="17">
        <f>IF(AND(ISNUMBER(J44),ISNUMBER(K44)),J44*K44,"")</f>
        <v/>
      </c>
      <c r="M44" s="17" t="n">
        <v>124.49</v>
      </c>
      <c r="N44" s="16" t="n"/>
      <c r="O44" s="6" t="inlineStr">
        <is>
          <t>4+/5 green</t>
        </is>
      </c>
      <c r="P44" s="15" t="inlineStr">
        <is>
          <t>5 of 5 green, time machine green, rank #5, 8.33% of the $1,494.58 free cash split 12 ways</t>
        </is>
      </c>
      <c r="Q44" s="12" t="n">
        <v>5</v>
      </c>
      <c r="R44" s="6" t="inlineStr">
        <is>
          <t>ok</t>
        </is>
      </c>
      <c r="S44" s="18" t="n">
        <v>0.55</v>
      </c>
      <c r="T44" s="12" t="n">
        <v>20</v>
      </c>
      <c r="U44" s="19" t="n">
        <v>0.0009</v>
      </c>
      <c r="V44" s="19" t="n">
        <v>-0.1395</v>
      </c>
      <c r="W44" s="12" t="n">
        <v>5</v>
      </c>
      <c r="X44" s="6" t="inlineStr">
        <is>
          <t>ok</t>
        </is>
      </c>
      <c r="Y44" s="19" t="n">
        <v>0.006999999999999999</v>
      </c>
      <c r="Z44" s="6" t="inlineStr">
        <is>
          <t>ok</t>
        </is>
      </c>
      <c r="AA44" s="12" t="n">
        <v>80</v>
      </c>
      <c r="AB44" s="15" t="inlineStr">
        <is>
          <t>One day (+3.8%) did 114% of the 10-day move. The trend rests on a single jump.</t>
        </is>
      </c>
      <c r="AC44" s="6" t="inlineStr">
        <is>
          <t>ok</t>
        </is>
      </c>
      <c r="AD44" s="6" t="inlineStr">
        <is>
          <t>up</t>
        </is>
      </c>
      <c r="AE44" s="17" t="n">
        <v>93.197</v>
      </c>
      <c r="AF44" s="17" t="n">
        <v>91.0295</v>
      </c>
      <c r="AG44" s="17" t="n">
        <v>95.3644</v>
      </c>
      <c r="AH44" s="20" t="n">
        <v>46330</v>
      </c>
      <c r="AI44" s="18" t="n">
        <v>0.5600000000000001</v>
      </c>
      <c r="AJ44" s="6" t="inlineStr">
        <is>
          <t>ok</t>
        </is>
      </c>
      <c r="AK44" s="12" t="n">
        <v>2</v>
      </c>
      <c r="AL44" s="15" t="inlineStr">
        <is>
          <t>RBC Capital Adjusts Southern Company Price Target</t>
        </is>
      </c>
      <c r="AM44" s="17" t="n">
        <v>92.33</v>
      </c>
      <c r="AN44" s="19" t="n">
        <v>-0.0034</v>
      </c>
      <c r="AO44" s="17" t="n">
        <v>100128.62</v>
      </c>
      <c r="AP44" s="17" t="n">
        <v>1494.58</v>
      </c>
      <c r="AQ44" s="19" t="n">
        <v>0.0833</v>
      </c>
      <c r="AR44" s="16" t="n"/>
      <c r="AS44" s="17" t="n"/>
      <c r="AT44" s="19" t="n"/>
      <c r="AU44" s="6" t="inlineStr">
        <is>
          <t>paper</t>
        </is>
      </c>
      <c r="AV44" s="6" t="inlineStr">
        <is>
          <t>84055f04-f1e8-4f84-b3d3-5c199cf649b6</t>
        </is>
      </c>
      <c r="AW44" s="6" t="inlineStr">
        <is>
          <t>tdagent-buy-SO-1793206659765</t>
        </is>
      </c>
      <c r="AX44" s="13" t="n">
        <v>46323.70670138889</v>
      </c>
      <c r="AY44" s="13" t="n">
        <v>46323.70670138889</v>
      </c>
      <c r="AZ44" s="13" t="n">
        <v>46323.7065625</v>
      </c>
      <c r="BA44" s="6" t="n"/>
    </row>
    <row r="45">
      <c r="A45" s="12" t="n">
        <v>44</v>
      </c>
      <c r="B45" s="13" t="n">
        <v>46323.76857638889</v>
      </c>
      <c r="C45" s="13" t="n">
        <v>46323.56024305556</v>
      </c>
      <c r="D45" s="13" t="n">
        <v>46323.72690972222</v>
      </c>
      <c r="E45" s="21" t="inlineStr">
        <is>
          <t>SELL</t>
        </is>
      </c>
      <c r="F45" s="6" t="inlineStr">
        <is>
          <t>CNC</t>
        </is>
      </c>
      <c r="G45" s="15" t="inlineStr">
        <is>
          <t>CNC</t>
        </is>
      </c>
      <c r="H45" s="6" t="inlineStr">
        <is>
          <t>NYSE</t>
        </is>
      </c>
      <c r="I45" s="6" t="inlineStr">
        <is>
          <t>filled</t>
        </is>
      </c>
      <c r="J45" s="16" t="n">
        <v>7.590071128</v>
      </c>
      <c r="K45" s="17" t="n">
        <v>67.72</v>
      </c>
      <c r="L45" s="17">
        <f>IF(AND(ISNUMBER(J45),ISNUMBER(K45)),J45*K45,"")</f>
        <v/>
      </c>
      <c r="M45" s="17" t="n"/>
      <c r="N45" s="16" t="n">
        <v>7.590071128</v>
      </c>
      <c r="O45" s="6" t="inlineStr">
        <is>
          <t>2 or fewer green</t>
        </is>
      </c>
      <c r="P45" s="15" t="inlineStr">
        <is>
          <t>Only 2 of 5 green</t>
        </is>
      </c>
      <c r="Q45" s="12" t="n">
        <v>2</v>
      </c>
      <c r="R45" s="6" t="inlineStr">
        <is>
          <t>ok</t>
        </is>
      </c>
      <c r="S45" s="18" t="n">
        <v>0.5679999999999999</v>
      </c>
      <c r="T45" s="12" t="n">
        <v>44</v>
      </c>
      <c r="U45" s="19" t="n">
        <v>0.0126</v>
      </c>
      <c r="V45" s="19" t="n">
        <v>-0.1395</v>
      </c>
      <c r="W45" s="12" t="n"/>
      <c r="X45" s="6" t="inlineStr">
        <is>
          <t>watch</t>
        </is>
      </c>
      <c r="Y45" s="19" t="n">
        <v>0.0083</v>
      </c>
      <c r="Z45" s="6" t="inlineStr">
        <is>
          <t>ok</t>
        </is>
      </c>
      <c r="AA45" s="12" t="n">
        <v>100</v>
      </c>
      <c r="AB45" s="15" t="n"/>
      <c r="AC45" s="6" t="inlineStr">
        <is>
          <t>watch</t>
        </is>
      </c>
      <c r="AD45" s="6" t="inlineStr">
        <is>
          <t>flat</t>
        </is>
      </c>
      <c r="AE45" s="17" t="n">
        <v>67.675</v>
      </c>
      <c r="AF45" s="17" t="n">
        <v>64.496</v>
      </c>
      <c r="AG45" s="17" t="n">
        <v>70.854</v>
      </c>
      <c r="AH45" s="20" t="n">
        <v>46330</v>
      </c>
      <c r="AI45" s="18" t="n">
        <v>0.5</v>
      </c>
      <c r="AJ45" s="6" t="inlineStr">
        <is>
          <t>watch</t>
        </is>
      </c>
      <c r="AK45" s="12" t="n">
        <v>10</v>
      </c>
      <c r="AL45" s="15" t="inlineStr">
        <is>
          <t>Cantor Fitzgerald Upgrades Centene to Overweight and Raises Price Target to $79</t>
        </is>
      </c>
      <c r="AM45" s="17" t="n">
        <v>67.675</v>
      </c>
      <c r="AN45" s="19" t="n">
        <v>-0.0164</v>
      </c>
      <c r="AO45" s="17" t="n">
        <v>100241.95</v>
      </c>
      <c r="AP45" s="17" t="n">
        <v>1438.08</v>
      </c>
      <c r="AQ45" s="19" t="n">
        <v>0.0833</v>
      </c>
      <c r="AR45" s="16" t="n">
        <v>7.590071128</v>
      </c>
      <c r="AS45" s="17" t="n">
        <v>68.89</v>
      </c>
      <c r="AT45" s="19" t="n">
        <v>-0.017</v>
      </c>
      <c r="AU45" s="6" t="inlineStr">
        <is>
          <t>paper</t>
        </is>
      </c>
      <c r="AV45" s="6" t="inlineStr">
        <is>
          <t>7ff433f1-3689-4c21-b29e-7b59fcb42089</t>
        </is>
      </c>
      <c r="AW45" s="6" t="inlineStr">
        <is>
          <t>tdagent-sell-CNC-1793208403624</t>
        </is>
      </c>
      <c r="AX45" s="13" t="n">
        <v>46323.72688657408</v>
      </c>
      <c r="AY45" s="13" t="n">
        <v>46323.72690972222</v>
      </c>
      <c r="AZ45" s="13" t="n">
        <v>46323.72672453704</v>
      </c>
      <c r="BA45" s="6" t="n"/>
    </row>
    <row r="46">
      <c r="A46" s="12" t="n">
        <v>45</v>
      </c>
      <c r="B46" s="13" t="n">
        <v>46323.82612268518</v>
      </c>
      <c r="C46" s="13" t="n">
        <v>46323.61778935185</v>
      </c>
      <c r="D46" s="13" t="n">
        <v>46323.78445601852</v>
      </c>
      <c r="E46" s="21" t="inlineStr">
        <is>
          <t>SELL</t>
        </is>
      </c>
      <c r="F46" s="6" t="inlineStr">
        <is>
          <t>LLY</t>
        </is>
      </c>
      <c r="G46" s="15" t="inlineStr">
        <is>
          <t>LLY</t>
        </is>
      </c>
      <c r="H46" s="6" t="inlineStr">
        <is>
          <t>NYSE</t>
        </is>
      </c>
      <c r="I46" s="6" t="inlineStr">
        <is>
          <t>filled</t>
        </is>
      </c>
      <c r="J46" s="16" t="n">
        <v>0.057344226</v>
      </c>
      <c r="K46" s="17" t="n">
        <v>1291.566</v>
      </c>
      <c r="L46" s="17">
        <f>IF(AND(ISNUMBER(J46),ISNUMBER(K46)),J46*K46,"")</f>
        <v/>
      </c>
      <c r="M46" s="17" t="n"/>
      <c r="N46" s="16" t="n">
        <v>0.057344226</v>
      </c>
      <c r="O46" s="6" t="inlineStr">
        <is>
          <t>3 green: sell half</t>
        </is>
      </c>
      <c r="P46" s="15" t="inlineStr">
        <is>
          <t>3 of 5 green: start selling (half)</t>
        </is>
      </c>
      <c r="Q46" s="12" t="n">
        <v>3</v>
      </c>
      <c r="R46" s="6" t="inlineStr">
        <is>
          <t>ok</t>
        </is>
      </c>
      <c r="S46" s="18" t="n">
        <v>0.574</v>
      </c>
      <c r="T46" s="12" t="n">
        <v>68</v>
      </c>
      <c r="U46" s="19" t="n">
        <v>0.0075</v>
      </c>
      <c r="V46" s="19" t="n">
        <v>-0.1395</v>
      </c>
      <c r="W46" s="12" t="n"/>
      <c r="X46" s="6" t="inlineStr">
        <is>
          <t>watch</t>
        </is>
      </c>
      <c r="Y46" s="19" t="n">
        <v>0.008</v>
      </c>
      <c r="Z46" s="6" t="inlineStr">
        <is>
          <t>ok</t>
        </is>
      </c>
      <c r="AA46" s="12" t="n">
        <v>100</v>
      </c>
      <c r="AB46" s="15" t="n"/>
      <c r="AC46" s="6" t="inlineStr">
        <is>
          <t>ok</t>
        </is>
      </c>
      <c r="AD46" s="6" t="inlineStr">
        <is>
          <t>up</t>
        </is>
      </c>
      <c r="AE46" s="17" t="n">
        <v>1313.054</v>
      </c>
      <c r="AF46" s="17" t="n">
        <v>1260.219</v>
      </c>
      <c r="AG46" s="17" t="n">
        <v>1365.889</v>
      </c>
      <c r="AH46" s="20" t="n">
        <v>46330</v>
      </c>
      <c r="AI46" s="18" t="n">
        <v>0.55</v>
      </c>
      <c r="AJ46" s="6" t="inlineStr">
        <is>
          <t>watch</t>
        </is>
      </c>
      <c r="AK46" s="12" t="n">
        <v>10</v>
      </c>
      <c r="AL46" s="15" t="inlineStr">
        <is>
          <t>Top Wall Street Forecasters Revamp Eli Lilly Expectations Ahead Of Q3 Earnings</t>
        </is>
      </c>
      <c r="AM46" s="17" t="n">
        <v>1291.92</v>
      </c>
      <c r="AN46" s="19" t="n">
        <v>0.008100000000000001</v>
      </c>
      <c r="AO46" s="17" t="n">
        <v>100349.98</v>
      </c>
      <c r="AP46" s="17" t="n">
        <v>1952.08</v>
      </c>
      <c r="AQ46" s="19" t="n">
        <v>0.0833</v>
      </c>
      <c r="AR46" s="16" t="n">
        <v>0.114688452</v>
      </c>
      <c r="AS46" s="17" t="n">
        <v>1291.586</v>
      </c>
      <c r="AT46" s="19" t="n">
        <v>0.0002</v>
      </c>
      <c r="AU46" s="6" t="inlineStr">
        <is>
          <t>paper</t>
        </is>
      </c>
      <c r="AV46" s="6" t="inlineStr">
        <is>
          <t>f363e653-14b2-4970-9a58-3eb3ffaf679d</t>
        </is>
      </c>
      <c r="AW46" s="6" t="inlineStr">
        <is>
          <t>tdagent-sell-LLY-1793213377714</t>
        </is>
      </c>
      <c r="AX46" s="13" t="n">
        <v>46323.78445601852</v>
      </c>
      <c r="AY46" s="13" t="n">
        <v>46323.78445601852</v>
      </c>
      <c r="AZ46" s="13" t="n">
        <v>46323.78435185185</v>
      </c>
      <c r="BA46" s="6" t="n"/>
    </row>
    <row r="47">
      <c r="A47" s="12" t="n">
        <v>46</v>
      </c>
      <c r="B47" s="13" t="n">
        <v>46323.85436342593</v>
      </c>
      <c r="C47" s="13" t="n">
        <v>46323.64603009259</v>
      </c>
      <c r="D47" s="13" t="n">
        <v>46323.81269675926</v>
      </c>
      <c r="E47" s="21" t="inlineStr">
        <is>
          <t>SELL</t>
        </is>
      </c>
      <c r="F47" s="6" t="inlineStr">
        <is>
          <t>ABBV</t>
        </is>
      </c>
      <c r="G47" s="15" t="n"/>
      <c r="H47" s="6" t="n"/>
      <c r="I47" s="6" t="inlineStr">
        <is>
          <t>filled</t>
        </is>
      </c>
      <c r="J47" s="16" t="n">
        <v>3.63060686</v>
      </c>
      <c r="K47" s="17" t="n">
        <v>286.66</v>
      </c>
      <c r="L47" s="17">
        <f>IF(AND(ISNUMBER(J47),ISNUMBER(K47)),J47*K47,"")</f>
        <v/>
      </c>
      <c r="M47" s="17" t="n"/>
      <c r="N47" s="16" t="n">
        <v>3.63060686</v>
      </c>
      <c r="O47" s="6" t="inlineStr">
        <is>
          <t>evening under 5% (watchdog)</t>
        </is>
      </c>
      <c r="P47" s="15" t="inlineStr">
        <is>
          <t>Every-minute watchdog: evening rule, under +5% before the close</t>
        </is>
      </c>
      <c r="Q47" s="12" t="n"/>
      <c r="R47" s="6" t="n"/>
      <c r="S47" s="18" t="n"/>
      <c r="T47" s="12" t="n"/>
      <c r="U47" s="19" t="n"/>
      <c r="V47" s="19" t="n"/>
      <c r="W47" s="12" t="n"/>
      <c r="X47" s="6" t="n"/>
      <c r="Y47" s="19" t="n"/>
      <c r="Z47" s="6" t="n"/>
      <c r="AA47" s="12" t="n"/>
      <c r="AB47" s="15" t="n"/>
      <c r="AC47" s="6" t="n"/>
      <c r="AD47" s="6" t="n"/>
      <c r="AE47" s="17" t="n"/>
      <c r="AF47" s="17" t="n"/>
      <c r="AG47" s="17" t="n"/>
      <c r="AH47" s="20" t="n"/>
      <c r="AI47" s="18" t="n"/>
      <c r="AJ47" s="6" t="n"/>
      <c r="AK47" s="12" t="n"/>
      <c r="AL47" s="15" t="n"/>
      <c r="AM47" s="17" t="n"/>
      <c r="AN47" s="19" t="n"/>
      <c r="AO47" s="17" t="n"/>
      <c r="AP47" s="17" t="n"/>
      <c r="AQ47" s="19" t="n"/>
      <c r="AR47" s="16" t="n"/>
      <c r="AS47" s="17" t="n"/>
      <c r="AT47" s="19" t="n"/>
      <c r="AU47" s="6" t="inlineStr">
        <is>
          <t>paper</t>
        </is>
      </c>
      <c r="AV47" s="6" t="inlineStr">
        <is>
          <t>ecdb68eb-fd99-4135-a88a-1eec26aaa8a3</t>
        </is>
      </c>
      <c r="AW47" s="6" t="inlineStr">
        <is>
          <t>tdagent-wd-evening-ABBV-1793215815607</t>
        </is>
      </c>
      <c r="AX47" s="13" t="n">
        <v>46323.81267361111</v>
      </c>
      <c r="AY47" s="13" t="n">
        <v>46323.81269675926</v>
      </c>
      <c r="AZ47" s="13" t="n"/>
      <c r="BA47" s="6" t="n"/>
    </row>
    <row r="48">
      <c r="A48" s="12" t="n">
        <v>47</v>
      </c>
      <c r="B48" s="13" t="n">
        <v>46323.854375</v>
      </c>
      <c r="C48" s="13" t="n">
        <v>46323.64604166667</v>
      </c>
      <c r="D48" s="13" t="n">
        <v>46323.81270833333</v>
      </c>
      <c r="E48" s="21" t="inlineStr">
        <is>
          <t>SELL</t>
        </is>
      </c>
      <c r="F48" s="6" t="inlineStr">
        <is>
          <t>ADI</t>
        </is>
      </c>
      <c r="G48" s="15" t="n"/>
      <c r="H48" s="6" t="n"/>
      <c r="I48" s="6" t="inlineStr">
        <is>
          <t>filled</t>
        </is>
      </c>
      <c r="J48" s="16" t="n">
        <v>2.460611764</v>
      </c>
      <c r="K48" s="17" t="n">
        <v>426.02</v>
      </c>
      <c r="L48" s="17">
        <f>IF(AND(ISNUMBER(J48),ISNUMBER(K48)),J48*K48,"")</f>
        <v/>
      </c>
      <c r="M48" s="17" t="n"/>
      <c r="N48" s="16" t="n">
        <v>2.460611764</v>
      </c>
      <c r="O48" s="6" t="inlineStr">
        <is>
          <t>evening under 5% (watchdog)</t>
        </is>
      </c>
      <c r="P48" s="15" t="inlineStr">
        <is>
          <t>Every-minute watchdog: evening rule, under +5% before the close</t>
        </is>
      </c>
      <c r="Q48" s="12" t="n"/>
      <c r="R48" s="6" t="n"/>
      <c r="S48" s="18" t="n"/>
      <c r="T48" s="12" t="n"/>
      <c r="U48" s="19" t="n"/>
      <c r="V48" s="19" t="n"/>
      <c r="W48" s="12" t="n"/>
      <c r="X48" s="6" t="n"/>
      <c r="Y48" s="19" t="n"/>
      <c r="Z48" s="6" t="n"/>
      <c r="AA48" s="12" t="n"/>
      <c r="AB48" s="15" t="n"/>
      <c r="AC48" s="6" t="n"/>
      <c r="AD48" s="6" t="n"/>
      <c r="AE48" s="17" t="n"/>
      <c r="AF48" s="17" t="n"/>
      <c r="AG48" s="17" t="n"/>
      <c r="AH48" s="20" t="n"/>
      <c r="AI48" s="18" t="n"/>
      <c r="AJ48" s="6" t="n"/>
      <c r="AK48" s="12" t="n"/>
      <c r="AL48" s="15" t="n"/>
      <c r="AM48" s="17" t="n"/>
      <c r="AN48" s="19" t="n"/>
      <c r="AO48" s="17" t="n"/>
      <c r="AP48" s="17" t="n"/>
      <c r="AQ48" s="19" t="n"/>
      <c r="AR48" s="16" t="n"/>
      <c r="AS48" s="17" t="n"/>
      <c r="AT48" s="19" t="n"/>
      <c r="AU48" s="6" t="inlineStr">
        <is>
          <t>paper</t>
        </is>
      </c>
      <c r="AV48" s="6" t="inlineStr">
        <is>
          <t>c9c245bf-f10e-4860-8dbd-030c02ab0556</t>
        </is>
      </c>
      <c r="AW48" s="6" t="inlineStr">
        <is>
          <t>tdagent-wd-evening-ADI-1793215816980</t>
        </is>
      </c>
      <c r="AX48" s="13" t="n">
        <v>46323.81269675926</v>
      </c>
      <c r="AY48" s="13" t="n">
        <v>46323.81270833333</v>
      </c>
      <c r="AZ48" s="13" t="n"/>
      <c r="BA48" s="6" t="n"/>
    </row>
    <row r="49">
      <c r="A49" s="12" t="n">
        <v>48</v>
      </c>
      <c r="B49" s="13" t="n">
        <v>46323.85439814815</v>
      </c>
      <c r="C49" s="13" t="n">
        <v>46323.64606481481</v>
      </c>
      <c r="D49" s="13" t="n">
        <v>46323.81273148148</v>
      </c>
      <c r="E49" s="21" t="inlineStr">
        <is>
          <t>SELL</t>
        </is>
      </c>
      <c r="F49" s="6" t="inlineStr">
        <is>
          <t>CBOE</t>
        </is>
      </c>
      <c r="G49" s="15" t="n"/>
      <c r="H49" s="6" t="n"/>
      <c r="I49" s="6" t="inlineStr">
        <is>
          <t>filled</t>
        </is>
      </c>
      <c r="J49" s="16" t="n">
        <v>25.834717916</v>
      </c>
      <c r="K49" s="17" t="n">
        <v>322.32659</v>
      </c>
      <c r="L49" s="17">
        <f>IF(AND(ISNUMBER(J49),ISNUMBER(K49)),J49*K49,"")</f>
        <v/>
      </c>
      <c r="M49" s="17" t="n"/>
      <c r="N49" s="16" t="n">
        <v>25.834717916</v>
      </c>
      <c r="O49" s="6" t="inlineStr">
        <is>
          <t>evening under 5% (watchdog)</t>
        </is>
      </c>
      <c r="P49" s="15" t="inlineStr">
        <is>
          <t>Every-minute watchdog: evening rule, under +5% before the close</t>
        </is>
      </c>
      <c r="Q49" s="12" t="n"/>
      <c r="R49" s="6" t="n"/>
      <c r="S49" s="18" t="n"/>
      <c r="T49" s="12" t="n"/>
      <c r="U49" s="19" t="n"/>
      <c r="V49" s="19" t="n"/>
      <c r="W49" s="12" t="n"/>
      <c r="X49" s="6" t="n"/>
      <c r="Y49" s="19" t="n"/>
      <c r="Z49" s="6" t="n"/>
      <c r="AA49" s="12" t="n"/>
      <c r="AB49" s="15" t="n"/>
      <c r="AC49" s="6" t="n"/>
      <c r="AD49" s="6" t="n"/>
      <c r="AE49" s="17" t="n"/>
      <c r="AF49" s="17" t="n"/>
      <c r="AG49" s="17" t="n"/>
      <c r="AH49" s="20" t="n"/>
      <c r="AI49" s="18" t="n"/>
      <c r="AJ49" s="6" t="n"/>
      <c r="AK49" s="12" t="n"/>
      <c r="AL49" s="15" t="n"/>
      <c r="AM49" s="17" t="n"/>
      <c r="AN49" s="19" t="n"/>
      <c r="AO49" s="17" t="n"/>
      <c r="AP49" s="17" t="n"/>
      <c r="AQ49" s="19" t="n"/>
      <c r="AR49" s="16" t="n"/>
      <c r="AS49" s="17" t="n"/>
      <c r="AT49" s="19" t="n"/>
      <c r="AU49" s="6" t="inlineStr">
        <is>
          <t>paper</t>
        </is>
      </c>
      <c r="AV49" s="6" t="inlineStr">
        <is>
          <t>348491cc-58de-42d7-8c1f-65813f0e1722</t>
        </is>
      </c>
      <c r="AW49" s="6" t="inlineStr">
        <is>
          <t>tdagent-wd-evening-CBOE-1793215818325</t>
        </is>
      </c>
      <c r="AX49" s="13" t="n">
        <v>46323.81270833333</v>
      </c>
      <c r="AY49" s="13" t="n">
        <v>46323.81273148148</v>
      </c>
      <c r="AZ49" s="13" t="n"/>
      <c r="BA49" s="6" t="n"/>
    </row>
    <row r="50">
      <c r="A50" s="12" t="n">
        <v>49</v>
      </c>
      <c r="B50" s="13" t="n">
        <v>46323.8544212963</v>
      </c>
      <c r="C50" s="13" t="n">
        <v>46323.64608796296</v>
      </c>
      <c r="D50" s="13" t="n">
        <v>46323.81275462963</v>
      </c>
      <c r="E50" s="21" t="inlineStr">
        <is>
          <t>SELL</t>
        </is>
      </c>
      <c r="F50" s="6" t="inlineStr">
        <is>
          <t>CTSH</t>
        </is>
      </c>
      <c r="G50" s="15" t="n"/>
      <c r="H50" s="6" t="n"/>
      <c r="I50" s="6" t="inlineStr">
        <is>
          <t>filled</t>
        </is>
      </c>
      <c r="J50" s="16" t="n">
        <v>15.713899323</v>
      </c>
      <c r="K50" s="17" t="n">
        <v>66.09999999999999</v>
      </c>
      <c r="L50" s="17">
        <f>IF(AND(ISNUMBER(J50),ISNUMBER(K50)),J50*K50,"")</f>
        <v/>
      </c>
      <c r="M50" s="17" t="n"/>
      <c r="N50" s="16" t="n">
        <v>15.713899323</v>
      </c>
      <c r="O50" s="6" t="inlineStr">
        <is>
          <t>evening under 5% (watchdog)</t>
        </is>
      </c>
      <c r="P50" s="15" t="inlineStr">
        <is>
          <t>Every-minute watchdog: evening rule, under +5% before the close</t>
        </is>
      </c>
      <c r="Q50" s="12" t="n"/>
      <c r="R50" s="6" t="n"/>
      <c r="S50" s="18" t="n"/>
      <c r="T50" s="12" t="n"/>
      <c r="U50" s="19" t="n"/>
      <c r="V50" s="19" t="n"/>
      <c r="W50" s="12" t="n"/>
      <c r="X50" s="6" t="n"/>
      <c r="Y50" s="19" t="n"/>
      <c r="Z50" s="6" t="n"/>
      <c r="AA50" s="12" t="n"/>
      <c r="AB50" s="15" t="n"/>
      <c r="AC50" s="6" t="n"/>
      <c r="AD50" s="6" t="n"/>
      <c r="AE50" s="17" t="n"/>
      <c r="AF50" s="17" t="n"/>
      <c r="AG50" s="17" t="n"/>
      <c r="AH50" s="20" t="n"/>
      <c r="AI50" s="18" t="n"/>
      <c r="AJ50" s="6" t="n"/>
      <c r="AK50" s="12" t="n"/>
      <c r="AL50" s="15" t="n"/>
      <c r="AM50" s="17" t="n"/>
      <c r="AN50" s="19" t="n"/>
      <c r="AO50" s="17" t="n"/>
      <c r="AP50" s="17" t="n"/>
      <c r="AQ50" s="19" t="n"/>
      <c r="AR50" s="16" t="n"/>
      <c r="AS50" s="17" t="n"/>
      <c r="AT50" s="19" t="n"/>
      <c r="AU50" s="6" t="inlineStr">
        <is>
          <t>paper</t>
        </is>
      </c>
      <c r="AV50" s="6" t="inlineStr">
        <is>
          <t>2325c275-144c-4627-9a2a-204c654b3f61</t>
        </is>
      </c>
      <c r="AW50" s="6" t="inlineStr">
        <is>
          <t>tdagent-wd-evening-CTSH-1793215819690</t>
        </is>
      </c>
      <c r="AX50" s="13" t="n">
        <v>46323.81271990741</v>
      </c>
      <c r="AY50" s="13" t="n">
        <v>46323.81275462963</v>
      </c>
      <c r="AZ50" s="13" t="n"/>
      <c r="BA50" s="6" t="n"/>
    </row>
    <row r="51">
      <c r="A51" s="12" t="n">
        <v>50</v>
      </c>
      <c r="B51" s="13" t="n">
        <v>46323.85440972223</v>
      </c>
      <c r="C51" s="13" t="n">
        <v>46323.64607638889</v>
      </c>
      <c r="D51" s="13" t="n">
        <v>46323.81274305555</v>
      </c>
      <c r="E51" s="21" t="inlineStr">
        <is>
          <t>SELL</t>
        </is>
      </c>
      <c r="F51" s="6" t="inlineStr">
        <is>
          <t>DINO</t>
        </is>
      </c>
      <c r="G51" s="15" t="n"/>
      <c r="H51" s="6" t="n"/>
      <c r="I51" s="6" t="inlineStr">
        <is>
          <t>filled</t>
        </is>
      </c>
      <c r="J51" s="16" t="n">
        <v>0.486970655</v>
      </c>
      <c r="K51" s="17" t="n">
        <v>113.556</v>
      </c>
      <c r="L51" s="17">
        <f>IF(AND(ISNUMBER(J51),ISNUMBER(K51)),J51*K51,"")</f>
        <v/>
      </c>
      <c r="M51" s="17" t="n"/>
      <c r="N51" s="16" t="n">
        <v>0.486970655</v>
      </c>
      <c r="O51" s="6" t="inlineStr">
        <is>
          <t>evening under 5% (watchdog)</t>
        </is>
      </c>
      <c r="P51" s="15" t="inlineStr">
        <is>
          <t>Every-minute watchdog: evening rule, under +5% before the close</t>
        </is>
      </c>
      <c r="Q51" s="12" t="n"/>
      <c r="R51" s="6" t="n"/>
      <c r="S51" s="18" t="n"/>
      <c r="T51" s="12" t="n"/>
      <c r="U51" s="19" t="n"/>
      <c r="V51" s="19" t="n"/>
      <c r="W51" s="12" t="n"/>
      <c r="X51" s="6" t="n"/>
      <c r="Y51" s="19" t="n"/>
      <c r="Z51" s="6" t="n"/>
      <c r="AA51" s="12" t="n"/>
      <c r="AB51" s="15" t="n"/>
      <c r="AC51" s="6" t="n"/>
      <c r="AD51" s="6" t="n"/>
      <c r="AE51" s="17" t="n"/>
      <c r="AF51" s="17" t="n"/>
      <c r="AG51" s="17" t="n"/>
      <c r="AH51" s="20" t="n"/>
      <c r="AI51" s="18" t="n"/>
      <c r="AJ51" s="6" t="n"/>
      <c r="AK51" s="12" t="n"/>
      <c r="AL51" s="15" t="n"/>
      <c r="AM51" s="17" t="n"/>
      <c r="AN51" s="19" t="n"/>
      <c r="AO51" s="17" t="n"/>
      <c r="AP51" s="17" t="n"/>
      <c r="AQ51" s="19" t="n"/>
      <c r="AR51" s="16" t="n"/>
      <c r="AS51" s="17" t="n"/>
      <c r="AT51" s="19" t="n"/>
      <c r="AU51" s="6" t="inlineStr">
        <is>
          <t>paper</t>
        </is>
      </c>
      <c r="AV51" s="6" t="inlineStr">
        <is>
          <t>bbf19542-ad5d-4daf-99e4-e0780f5cba3c</t>
        </is>
      </c>
      <c r="AW51" s="6" t="inlineStr">
        <is>
          <t>tdagent-wd-evening-DINO-1793215821053</t>
        </is>
      </c>
      <c r="AX51" s="13" t="n">
        <v>46323.81274305555</v>
      </c>
      <c r="AY51" s="13" t="n">
        <v>46323.81274305555</v>
      </c>
      <c r="AZ51" s="13" t="n"/>
      <c r="BA51" s="6" t="n"/>
    </row>
    <row r="52">
      <c r="A52" s="12" t="n">
        <v>51</v>
      </c>
      <c r="B52" s="13" t="n">
        <v>46323.85445601852</v>
      </c>
      <c r="C52" s="13" t="n">
        <v>46323.64612268518</v>
      </c>
      <c r="D52" s="13" t="n">
        <v>46323.81278935185</v>
      </c>
      <c r="E52" s="21" t="inlineStr">
        <is>
          <t>SELL</t>
        </is>
      </c>
      <c r="F52" s="6" t="inlineStr">
        <is>
          <t>DT</t>
        </is>
      </c>
      <c r="G52" s="15" t="n"/>
      <c r="H52" s="6" t="n"/>
      <c r="I52" s="6" t="inlineStr">
        <is>
          <t>filled</t>
        </is>
      </c>
      <c r="J52" s="16" t="n">
        <v>130.2953125</v>
      </c>
      <c r="K52" s="17" t="n">
        <v>62.591634</v>
      </c>
      <c r="L52" s="17">
        <f>IF(AND(ISNUMBER(J52),ISNUMBER(K52)),J52*K52,"")</f>
        <v/>
      </c>
      <c r="M52" s="17" t="n"/>
      <c r="N52" s="16" t="n">
        <v>130.2953125</v>
      </c>
      <c r="O52" s="6" t="inlineStr">
        <is>
          <t>evening under 5% (watchdog)</t>
        </is>
      </c>
      <c r="P52" s="15" t="inlineStr">
        <is>
          <t>Every-minute watchdog: evening rule, under +5% before the close</t>
        </is>
      </c>
      <c r="Q52" s="12" t="n"/>
      <c r="R52" s="6" t="n"/>
      <c r="S52" s="18" t="n"/>
      <c r="T52" s="12" t="n"/>
      <c r="U52" s="19" t="n"/>
      <c r="V52" s="19" t="n"/>
      <c r="W52" s="12" t="n"/>
      <c r="X52" s="6" t="n"/>
      <c r="Y52" s="19" t="n"/>
      <c r="Z52" s="6" t="n"/>
      <c r="AA52" s="12" t="n"/>
      <c r="AB52" s="15" t="n"/>
      <c r="AC52" s="6" t="n"/>
      <c r="AD52" s="6" t="n"/>
      <c r="AE52" s="17" t="n"/>
      <c r="AF52" s="17" t="n"/>
      <c r="AG52" s="17" t="n"/>
      <c r="AH52" s="20" t="n"/>
      <c r="AI52" s="18" t="n"/>
      <c r="AJ52" s="6" t="n"/>
      <c r="AK52" s="12" t="n"/>
      <c r="AL52" s="15" t="n"/>
      <c r="AM52" s="17" t="n"/>
      <c r="AN52" s="19" t="n"/>
      <c r="AO52" s="17" t="n"/>
      <c r="AP52" s="17" t="n"/>
      <c r="AQ52" s="19" t="n"/>
      <c r="AR52" s="16" t="n"/>
      <c r="AS52" s="17" t="n"/>
      <c r="AT52" s="19" t="n"/>
      <c r="AU52" s="6" t="inlineStr">
        <is>
          <t>paper</t>
        </is>
      </c>
      <c r="AV52" s="6" t="inlineStr">
        <is>
          <t>99c08b19-1d7a-4a5a-bb13-20150fde7167</t>
        </is>
      </c>
      <c r="AW52" s="6" t="inlineStr">
        <is>
          <t>tdagent-wd-evening-DT-1793215822409</t>
        </is>
      </c>
      <c r="AX52" s="13" t="n">
        <v>46323.81275462963</v>
      </c>
      <c r="AY52" s="13" t="n">
        <v>46323.81278935185</v>
      </c>
      <c r="AZ52" s="13" t="n"/>
      <c r="BA52" s="6" t="n"/>
    </row>
    <row r="53">
      <c r="A53" s="12" t="n">
        <v>52</v>
      </c>
      <c r="B53" s="13" t="n">
        <v>46323.85445601852</v>
      </c>
      <c r="C53" s="13" t="n">
        <v>46323.64612268518</v>
      </c>
      <c r="D53" s="13" t="n">
        <v>46323.81278935185</v>
      </c>
      <c r="E53" s="21" t="inlineStr">
        <is>
          <t>SELL</t>
        </is>
      </c>
      <c r="F53" s="6" t="inlineStr">
        <is>
          <t>EBAY</t>
        </is>
      </c>
      <c r="G53" s="15" t="n"/>
      <c r="H53" s="6" t="n"/>
      <c r="I53" s="6" t="inlineStr">
        <is>
          <t>filled</t>
        </is>
      </c>
      <c r="J53" s="16" t="n">
        <v>70.13268309</v>
      </c>
      <c r="K53" s="17" t="n">
        <v>117.477719</v>
      </c>
      <c r="L53" s="17">
        <f>IF(AND(ISNUMBER(J53),ISNUMBER(K53)),J53*K53,"")</f>
        <v/>
      </c>
      <c r="M53" s="17" t="n"/>
      <c r="N53" s="16" t="n">
        <v>70.13268309</v>
      </c>
      <c r="O53" s="6" t="inlineStr">
        <is>
          <t>evening under 5% (watchdog)</t>
        </is>
      </c>
      <c r="P53" s="15" t="inlineStr">
        <is>
          <t>Every-minute watchdog: evening rule, under +5% before the close</t>
        </is>
      </c>
      <c r="Q53" s="12" t="n"/>
      <c r="R53" s="6" t="n"/>
      <c r="S53" s="18" t="n"/>
      <c r="T53" s="12" t="n"/>
      <c r="U53" s="19" t="n"/>
      <c r="V53" s="19" t="n"/>
      <c r="W53" s="12" t="n"/>
      <c r="X53" s="6" t="n"/>
      <c r="Y53" s="19" t="n"/>
      <c r="Z53" s="6" t="n"/>
      <c r="AA53" s="12" t="n"/>
      <c r="AB53" s="15" t="n"/>
      <c r="AC53" s="6" t="n"/>
      <c r="AD53" s="6" t="n"/>
      <c r="AE53" s="17" t="n"/>
      <c r="AF53" s="17" t="n"/>
      <c r="AG53" s="17" t="n"/>
      <c r="AH53" s="20" t="n"/>
      <c r="AI53" s="18" t="n"/>
      <c r="AJ53" s="6" t="n"/>
      <c r="AK53" s="12" t="n"/>
      <c r="AL53" s="15" t="n"/>
      <c r="AM53" s="17" t="n"/>
      <c r="AN53" s="19" t="n"/>
      <c r="AO53" s="17" t="n"/>
      <c r="AP53" s="17" t="n"/>
      <c r="AQ53" s="19" t="n"/>
      <c r="AR53" s="16" t="n"/>
      <c r="AS53" s="17" t="n"/>
      <c r="AT53" s="19" t="n"/>
      <c r="AU53" s="6" t="inlineStr">
        <is>
          <t>paper</t>
        </is>
      </c>
      <c r="AV53" s="6" t="inlineStr">
        <is>
          <t>7e3b9a25-df34-45b9-87d0-39f00f5b6161</t>
        </is>
      </c>
      <c r="AW53" s="6" t="inlineStr">
        <is>
          <t>tdagent-wd-evening-EBAY-1793215823758</t>
        </is>
      </c>
      <c r="AX53" s="13" t="n">
        <v>46323.8127662037</v>
      </c>
      <c r="AY53" s="13" t="n">
        <v>46323.81278935185</v>
      </c>
      <c r="AZ53" s="13" t="n"/>
      <c r="BA53" s="6" t="n"/>
    </row>
    <row r="54">
      <c r="A54" s="12" t="n">
        <v>53</v>
      </c>
      <c r="B54" s="13" t="n">
        <v>46323.8544675926</v>
      </c>
      <c r="C54" s="13" t="n">
        <v>46323.64613425926</v>
      </c>
      <c r="D54" s="13" t="n">
        <v>46323.81280092592</v>
      </c>
      <c r="E54" s="21" t="inlineStr">
        <is>
          <t>SELL</t>
        </is>
      </c>
      <c r="F54" s="6" t="inlineStr">
        <is>
          <t>EQNR</t>
        </is>
      </c>
      <c r="G54" s="15" t="n"/>
      <c r="H54" s="6" t="n"/>
      <c r="I54" s="6" t="inlineStr">
        <is>
          <t>filled</t>
        </is>
      </c>
      <c r="J54" s="16" t="n">
        <v>21.932885906</v>
      </c>
      <c r="K54" s="17" t="n">
        <v>47.68</v>
      </c>
      <c r="L54" s="17">
        <f>IF(AND(ISNUMBER(J54),ISNUMBER(K54)),J54*K54,"")</f>
        <v/>
      </c>
      <c r="M54" s="17" t="n"/>
      <c r="N54" s="16" t="n">
        <v>21.932885906</v>
      </c>
      <c r="O54" s="6" t="inlineStr">
        <is>
          <t>evening under 5% (watchdog)</t>
        </is>
      </c>
      <c r="P54" s="15" t="inlineStr">
        <is>
          <t>Every-minute watchdog: evening rule, under +5% before the close</t>
        </is>
      </c>
      <c r="Q54" s="12" t="n"/>
      <c r="R54" s="6" t="n"/>
      <c r="S54" s="18" t="n"/>
      <c r="T54" s="12" t="n"/>
      <c r="U54" s="19" t="n"/>
      <c r="V54" s="19" t="n"/>
      <c r="W54" s="12" t="n"/>
      <c r="X54" s="6" t="n"/>
      <c r="Y54" s="19" t="n"/>
      <c r="Z54" s="6" t="n"/>
      <c r="AA54" s="12" t="n"/>
      <c r="AB54" s="15" t="n"/>
      <c r="AC54" s="6" t="n"/>
      <c r="AD54" s="6" t="n"/>
      <c r="AE54" s="17" t="n"/>
      <c r="AF54" s="17" t="n"/>
      <c r="AG54" s="17" t="n"/>
      <c r="AH54" s="20" t="n"/>
      <c r="AI54" s="18" t="n"/>
      <c r="AJ54" s="6" t="n"/>
      <c r="AK54" s="12" t="n"/>
      <c r="AL54" s="15" t="n"/>
      <c r="AM54" s="17" t="n"/>
      <c r="AN54" s="19" t="n"/>
      <c r="AO54" s="17" t="n"/>
      <c r="AP54" s="17" t="n"/>
      <c r="AQ54" s="19" t="n"/>
      <c r="AR54" s="16" t="n"/>
      <c r="AS54" s="17" t="n"/>
      <c r="AT54" s="19" t="n"/>
      <c r="AU54" s="6" t="inlineStr">
        <is>
          <t>paper</t>
        </is>
      </c>
      <c r="AV54" s="6" t="inlineStr">
        <is>
          <t>5706b4df-35d3-4d73-921f-dfffda2590f2</t>
        </is>
      </c>
      <c r="AW54" s="6" t="inlineStr">
        <is>
          <t>tdagent-wd-evening-EQNR-1793215825105</t>
        </is>
      </c>
      <c r="AX54" s="13" t="n">
        <v>46323.81278935185</v>
      </c>
      <c r="AY54" s="13" t="n">
        <v>46323.81280092592</v>
      </c>
      <c r="AZ54" s="13" t="n"/>
      <c r="BA54" s="6" t="n"/>
    </row>
    <row r="55">
      <c r="A55" s="12" t="n">
        <v>54</v>
      </c>
      <c r="B55" s="13" t="n">
        <v>46323.85447916666</v>
      </c>
      <c r="C55" s="13" t="n">
        <v>46323.64614583334</v>
      </c>
      <c r="D55" s="13" t="n">
        <v>46323.8128125</v>
      </c>
      <c r="E55" s="21" t="inlineStr">
        <is>
          <t>SELL</t>
        </is>
      </c>
      <c r="F55" s="6" t="inlineStr">
        <is>
          <t>EQT</t>
        </is>
      </c>
      <c r="G55" s="15" t="n"/>
      <c r="H55" s="6" t="n"/>
      <c r="I55" s="6" t="inlineStr">
        <is>
          <t>filled</t>
        </is>
      </c>
      <c r="J55" s="16" t="n">
        <v>1.562264961</v>
      </c>
      <c r="K55" s="17" t="n">
        <v>56.34</v>
      </c>
      <c r="L55" s="17">
        <f>IF(AND(ISNUMBER(J55),ISNUMBER(K55)),J55*K55,"")</f>
        <v/>
      </c>
      <c r="M55" s="17" t="n"/>
      <c r="N55" s="16" t="n">
        <v>1.562264961</v>
      </c>
      <c r="O55" s="6" t="inlineStr">
        <is>
          <t>evening under 5% (watchdog)</t>
        </is>
      </c>
      <c r="P55" s="15" t="inlineStr">
        <is>
          <t>Every-minute watchdog: evening rule, under +5% before the close</t>
        </is>
      </c>
      <c r="Q55" s="12" t="n"/>
      <c r="R55" s="6" t="n"/>
      <c r="S55" s="18" t="n"/>
      <c r="T55" s="12" t="n"/>
      <c r="U55" s="19" t="n"/>
      <c r="V55" s="19" t="n"/>
      <c r="W55" s="12" t="n"/>
      <c r="X55" s="6" t="n"/>
      <c r="Y55" s="19" t="n"/>
      <c r="Z55" s="6" t="n"/>
      <c r="AA55" s="12" t="n"/>
      <c r="AB55" s="15" t="n"/>
      <c r="AC55" s="6" t="n"/>
      <c r="AD55" s="6" t="n"/>
      <c r="AE55" s="17" t="n"/>
      <c r="AF55" s="17" t="n"/>
      <c r="AG55" s="17" t="n"/>
      <c r="AH55" s="20" t="n"/>
      <c r="AI55" s="18" t="n"/>
      <c r="AJ55" s="6" t="n"/>
      <c r="AK55" s="12" t="n"/>
      <c r="AL55" s="15" t="n"/>
      <c r="AM55" s="17" t="n"/>
      <c r="AN55" s="19" t="n"/>
      <c r="AO55" s="17" t="n"/>
      <c r="AP55" s="17" t="n"/>
      <c r="AQ55" s="19" t="n"/>
      <c r="AR55" s="16" t="n"/>
      <c r="AS55" s="17" t="n"/>
      <c r="AT55" s="19" t="n"/>
      <c r="AU55" s="6" t="inlineStr">
        <is>
          <t>paper</t>
        </is>
      </c>
      <c r="AV55" s="6" t="inlineStr">
        <is>
          <t>bb32325f-f3dd-462d-9764-ab7b61e177e6</t>
        </is>
      </c>
      <c r="AW55" s="6" t="inlineStr">
        <is>
          <t>tdagent-wd-evening-EQT-1793215826520</t>
        </is>
      </c>
      <c r="AX55" s="13" t="n">
        <v>46323.81280092592</v>
      </c>
      <c r="AY55" s="13" t="n">
        <v>46323.8128125</v>
      </c>
      <c r="AZ55" s="13" t="n"/>
      <c r="BA55" s="6" t="n"/>
    </row>
    <row r="56">
      <c r="A56" s="12" t="n">
        <v>55</v>
      </c>
      <c r="B56" s="13" t="n">
        <v>46323.85449074074</v>
      </c>
      <c r="C56" s="13" t="n">
        <v>46323.64615740741</v>
      </c>
      <c r="D56" s="13" t="n">
        <v>46323.81282407408</v>
      </c>
      <c r="E56" s="21" t="inlineStr">
        <is>
          <t>SELL</t>
        </is>
      </c>
      <c r="F56" s="6" t="inlineStr">
        <is>
          <t>ILMN</t>
        </is>
      </c>
      <c r="G56" s="15" t="n"/>
      <c r="H56" s="6" t="n"/>
      <c r="I56" s="6" t="inlineStr">
        <is>
          <t>filled</t>
        </is>
      </c>
      <c r="J56" s="16" t="n">
        <v>29.659715302</v>
      </c>
      <c r="K56" s="17" t="n">
        <v>288.51</v>
      </c>
      <c r="L56" s="17">
        <f>IF(AND(ISNUMBER(J56),ISNUMBER(K56)),J56*K56,"")</f>
        <v/>
      </c>
      <c r="M56" s="17" t="n"/>
      <c r="N56" s="16" t="n">
        <v>29.659715302</v>
      </c>
      <c r="O56" s="6" t="inlineStr">
        <is>
          <t>evening under 5% (watchdog)</t>
        </is>
      </c>
      <c r="P56" s="15" t="inlineStr">
        <is>
          <t>Every-minute watchdog: evening rule, under +5% before the close</t>
        </is>
      </c>
      <c r="Q56" s="12" t="n"/>
      <c r="R56" s="6" t="n"/>
      <c r="S56" s="18" t="n"/>
      <c r="T56" s="12" t="n"/>
      <c r="U56" s="19" t="n"/>
      <c r="V56" s="19" t="n"/>
      <c r="W56" s="12" t="n"/>
      <c r="X56" s="6" t="n"/>
      <c r="Y56" s="19" t="n"/>
      <c r="Z56" s="6" t="n"/>
      <c r="AA56" s="12" t="n"/>
      <c r="AB56" s="15" t="n"/>
      <c r="AC56" s="6" t="n"/>
      <c r="AD56" s="6" t="n"/>
      <c r="AE56" s="17" t="n"/>
      <c r="AF56" s="17" t="n"/>
      <c r="AG56" s="17" t="n"/>
      <c r="AH56" s="20" t="n"/>
      <c r="AI56" s="18" t="n"/>
      <c r="AJ56" s="6" t="n"/>
      <c r="AK56" s="12" t="n"/>
      <c r="AL56" s="15" t="n"/>
      <c r="AM56" s="17" t="n"/>
      <c r="AN56" s="19" t="n"/>
      <c r="AO56" s="17" t="n"/>
      <c r="AP56" s="17" t="n"/>
      <c r="AQ56" s="19" t="n"/>
      <c r="AR56" s="16" t="n"/>
      <c r="AS56" s="17" t="n"/>
      <c r="AT56" s="19" t="n"/>
      <c r="AU56" s="6" t="inlineStr">
        <is>
          <t>paper</t>
        </is>
      </c>
      <c r="AV56" s="6" t="inlineStr">
        <is>
          <t>ec00043f-733c-4dec-be1d-d537a299dd76</t>
        </is>
      </c>
      <c r="AW56" s="6" t="inlineStr">
        <is>
          <t>tdagent-wd-evening-ILMN-1793215827864</t>
        </is>
      </c>
      <c r="AX56" s="13" t="n">
        <v>46323.81282407408</v>
      </c>
      <c r="AY56" s="13" t="n">
        <v>46323.81282407408</v>
      </c>
      <c r="AZ56" s="13" t="n"/>
      <c r="BA56" s="6" t="n"/>
    </row>
    <row r="57">
      <c r="A57" s="12" t="n">
        <v>56</v>
      </c>
      <c r="B57" s="13" t="n">
        <v>46323.85454861111</v>
      </c>
      <c r="C57" s="13" t="n">
        <v>46323.64621527777</v>
      </c>
      <c r="D57" s="13" t="n">
        <v>46323.81288194445</v>
      </c>
      <c r="E57" s="21" t="inlineStr">
        <is>
          <t>SELL</t>
        </is>
      </c>
      <c r="F57" s="6" t="inlineStr">
        <is>
          <t>IQV</t>
        </is>
      </c>
      <c r="G57" s="15" t="n"/>
      <c r="H57" s="6" t="n"/>
      <c r="I57" s="6" t="inlineStr">
        <is>
          <t>filled</t>
        </is>
      </c>
      <c r="J57" s="16" t="n">
        <v>15.179879935</v>
      </c>
      <c r="K57" s="17" t="n">
        <v>276.99</v>
      </c>
      <c r="L57" s="17">
        <f>IF(AND(ISNUMBER(J57),ISNUMBER(K57)),J57*K57,"")</f>
        <v/>
      </c>
      <c r="M57" s="17" t="n"/>
      <c r="N57" s="16" t="n">
        <v>15.179879935</v>
      </c>
      <c r="O57" s="6" t="inlineStr">
        <is>
          <t>evening under 5% (watchdog)</t>
        </is>
      </c>
      <c r="P57" s="15" t="inlineStr">
        <is>
          <t>Every-minute watchdog: evening rule, under +5% before the close</t>
        </is>
      </c>
      <c r="Q57" s="12" t="n"/>
      <c r="R57" s="6" t="n"/>
      <c r="S57" s="18" t="n"/>
      <c r="T57" s="12" t="n"/>
      <c r="U57" s="19" t="n"/>
      <c r="V57" s="19" t="n"/>
      <c r="W57" s="12" t="n"/>
      <c r="X57" s="6" t="n"/>
      <c r="Y57" s="19" t="n"/>
      <c r="Z57" s="6" t="n"/>
      <c r="AA57" s="12" t="n"/>
      <c r="AB57" s="15" t="n"/>
      <c r="AC57" s="6" t="n"/>
      <c r="AD57" s="6" t="n"/>
      <c r="AE57" s="17" t="n"/>
      <c r="AF57" s="17" t="n"/>
      <c r="AG57" s="17" t="n"/>
      <c r="AH57" s="20" t="n"/>
      <c r="AI57" s="18" t="n"/>
      <c r="AJ57" s="6" t="n"/>
      <c r="AK57" s="12" t="n"/>
      <c r="AL57" s="15" t="n"/>
      <c r="AM57" s="17" t="n"/>
      <c r="AN57" s="19" t="n"/>
      <c r="AO57" s="17" t="n"/>
      <c r="AP57" s="17" t="n"/>
      <c r="AQ57" s="19" t="n"/>
      <c r="AR57" s="16" t="n"/>
      <c r="AS57" s="17" t="n"/>
      <c r="AT57" s="19" t="n"/>
      <c r="AU57" s="6" t="inlineStr">
        <is>
          <t>paper</t>
        </is>
      </c>
      <c r="AV57" s="6" t="inlineStr">
        <is>
          <t>b8de6178-d62b-48bd-b758-40dc1a541577</t>
        </is>
      </c>
      <c r="AW57" s="6" t="inlineStr">
        <is>
          <t>tdagent-wd-evening-IQV-1793215829241</t>
        </is>
      </c>
      <c r="AX57" s="13" t="n">
        <v>46323.81283564815</v>
      </c>
      <c r="AY57" s="13" t="n">
        <v>46323.81288194445</v>
      </c>
      <c r="AZ57" s="13" t="n"/>
      <c r="BA57" s="6" t="n"/>
    </row>
    <row r="58">
      <c r="A58" s="12" t="n">
        <v>57</v>
      </c>
      <c r="B58" s="13" t="n">
        <v>46323.85454861111</v>
      </c>
      <c r="C58" s="13" t="n">
        <v>46323.64621527777</v>
      </c>
      <c r="D58" s="13" t="n">
        <v>46323.81288194445</v>
      </c>
      <c r="E58" s="21" t="inlineStr">
        <is>
          <t>SELL</t>
        </is>
      </c>
      <c r="F58" s="6" t="inlineStr">
        <is>
          <t>KR</t>
        </is>
      </c>
      <c r="G58" s="15" t="n"/>
      <c r="H58" s="6" t="n"/>
      <c r="I58" s="6" t="inlineStr">
        <is>
          <t>filled</t>
        </is>
      </c>
      <c r="J58" s="16" t="n">
        <v>15.948757053</v>
      </c>
      <c r="K58" s="17" t="n">
        <v>65.22</v>
      </c>
      <c r="L58" s="17">
        <f>IF(AND(ISNUMBER(J58),ISNUMBER(K58)),J58*K58,"")</f>
        <v/>
      </c>
      <c r="M58" s="17" t="n"/>
      <c r="N58" s="16" t="n">
        <v>15.948757053</v>
      </c>
      <c r="O58" s="6" t="inlineStr">
        <is>
          <t>evening under 5% (watchdog)</t>
        </is>
      </c>
      <c r="P58" s="15" t="inlineStr">
        <is>
          <t>Every-minute watchdog: evening rule, under +5% before the close</t>
        </is>
      </c>
      <c r="Q58" s="12" t="n"/>
      <c r="R58" s="6" t="n"/>
      <c r="S58" s="18" t="n"/>
      <c r="T58" s="12" t="n"/>
      <c r="U58" s="19" t="n"/>
      <c r="V58" s="19" t="n"/>
      <c r="W58" s="12" t="n"/>
      <c r="X58" s="6" t="n"/>
      <c r="Y58" s="19" t="n"/>
      <c r="Z58" s="6" t="n"/>
      <c r="AA58" s="12" t="n"/>
      <c r="AB58" s="15" t="n"/>
      <c r="AC58" s="6" t="n"/>
      <c r="AD58" s="6" t="n"/>
      <c r="AE58" s="17" t="n"/>
      <c r="AF58" s="17" t="n"/>
      <c r="AG58" s="17" t="n"/>
      <c r="AH58" s="20" t="n"/>
      <c r="AI58" s="18" t="n"/>
      <c r="AJ58" s="6" t="n"/>
      <c r="AK58" s="12" t="n"/>
      <c r="AL58" s="15" t="n"/>
      <c r="AM58" s="17" t="n"/>
      <c r="AN58" s="19" t="n"/>
      <c r="AO58" s="17" t="n"/>
      <c r="AP58" s="17" t="n"/>
      <c r="AQ58" s="19" t="n"/>
      <c r="AR58" s="16" t="n"/>
      <c r="AS58" s="17" t="n"/>
      <c r="AT58" s="19" t="n"/>
      <c r="AU58" s="6" t="inlineStr">
        <is>
          <t>paper</t>
        </is>
      </c>
      <c r="AV58" s="6" t="inlineStr">
        <is>
          <t>ee9ae1f0-579c-4aa0-a2c4-6f9e252ed5eb</t>
        </is>
      </c>
      <c r="AW58" s="6" t="inlineStr">
        <is>
          <t>tdagent-wd-evening-KR-1793215830670</t>
        </is>
      </c>
      <c r="AX58" s="13" t="n">
        <v>46323.81284722222</v>
      </c>
      <c r="AY58" s="13" t="n">
        <v>46323.81288194445</v>
      </c>
      <c r="AZ58" s="13" t="n"/>
      <c r="BA58" s="6" t="n"/>
    </row>
    <row r="59">
      <c r="A59" s="12" t="n">
        <v>58</v>
      </c>
      <c r="B59" s="13" t="n">
        <v>46323.85453703703</v>
      </c>
      <c r="C59" s="13" t="n">
        <v>46323.64620370371</v>
      </c>
      <c r="D59" s="13" t="n">
        <v>46323.81287037037</v>
      </c>
      <c r="E59" s="21" t="inlineStr">
        <is>
          <t>SELL</t>
        </is>
      </c>
      <c r="F59" s="6" t="inlineStr">
        <is>
          <t>LLY</t>
        </is>
      </c>
      <c r="G59" s="15" t="n"/>
      <c r="H59" s="6" t="n"/>
      <c r="I59" s="6" t="inlineStr">
        <is>
          <t>filled</t>
        </is>
      </c>
      <c r="J59" s="16" t="n">
        <v>0.057344226</v>
      </c>
      <c r="K59" s="17" t="n">
        <v>1295.462</v>
      </c>
      <c r="L59" s="17">
        <f>IF(AND(ISNUMBER(J59),ISNUMBER(K59)),J59*K59,"")</f>
        <v/>
      </c>
      <c r="M59" s="17" t="n"/>
      <c r="N59" s="16" t="n">
        <v>0.057344226</v>
      </c>
      <c r="O59" s="6" t="inlineStr">
        <is>
          <t>evening under 5% (watchdog)</t>
        </is>
      </c>
      <c r="P59" s="15" t="inlineStr">
        <is>
          <t>Every-minute watchdog: evening rule, under +5% before the close</t>
        </is>
      </c>
      <c r="Q59" s="12" t="n"/>
      <c r="R59" s="6" t="n"/>
      <c r="S59" s="18" t="n"/>
      <c r="T59" s="12" t="n"/>
      <c r="U59" s="19" t="n"/>
      <c r="V59" s="19" t="n"/>
      <c r="W59" s="12" t="n"/>
      <c r="X59" s="6" t="n"/>
      <c r="Y59" s="19" t="n"/>
      <c r="Z59" s="6" t="n"/>
      <c r="AA59" s="12" t="n"/>
      <c r="AB59" s="15" t="n"/>
      <c r="AC59" s="6" t="n"/>
      <c r="AD59" s="6" t="n"/>
      <c r="AE59" s="17" t="n"/>
      <c r="AF59" s="17" t="n"/>
      <c r="AG59" s="17" t="n"/>
      <c r="AH59" s="20" t="n"/>
      <c r="AI59" s="18" t="n"/>
      <c r="AJ59" s="6" t="n"/>
      <c r="AK59" s="12" t="n"/>
      <c r="AL59" s="15" t="n"/>
      <c r="AM59" s="17" t="n"/>
      <c r="AN59" s="19" t="n"/>
      <c r="AO59" s="17" t="n"/>
      <c r="AP59" s="17" t="n"/>
      <c r="AQ59" s="19" t="n"/>
      <c r="AR59" s="16" t="n"/>
      <c r="AS59" s="17" t="n"/>
      <c r="AT59" s="19" t="n"/>
      <c r="AU59" s="6" t="inlineStr">
        <is>
          <t>paper</t>
        </is>
      </c>
      <c r="AV59" s="6" t="inlineStr">
        <is>
          <t>6821bf60-59eb-4195-a107-b43395f1d9bf</t>
        </is>
      </c>
      <c r="AW59" s="6" t="inlineStr">
        <is>
          <t>tdagent-wd-evening-LLY-1793215832015</t>
        </is>
      </c>
      <c r="AX59" s="13" t="n">
        <v>46323.81287037037</v>
      </c>
      <c r="AY59" s="13" t="n">
        <v>46323.81287037037</v>
      </c>
      <c r="AZ59" s="13" t="n"/>
      <c r="BA59" s="6" t="n"/>
    </row>
    <row r="60">
      <c r="A60" s="12" t="n">
        <v>59</v>
      </c>
      <c r="B60" s="13" t="n">
        <v>46323.85457175926</v>
      </c>
      <c r="C60" s="13" t="n">
        <v>46323.64623842593</v>
      </c>
      <c r="D60" s="13" t="n">
        <v>46323.81290509259</v>
      </c>
      <c r="E60" s="21" t="inlineStr">
        <is>
          <t>SELL</t>
        </is>
      </c>
      <c r="F60" s="6" t="inlineStr">
        <is>
          <t>LNG</t>
        </is>
      </c>
      <c r="G60" s="15" t="n"/>
      <c r="H60" s="6" t="n"/>
      <c r="I60" s="6" t="inlineStr">
        <is>
          <t>filled</t>
        </is>
      </c>
      <c r="J60" s="16" t="n">
        <v>3.489356022</v>
      </c>
      <c r="K60" s="17" t="n">
        <v>297.565854</v>
      </c>
      <c r="L60" s="17">
        <f>IF(AND(ISNUMBER(J60),ISNUMBER(K60)),J60*K60,"")</f>
        <v/>
      </c>
      <c r="M60" s="17" t="n"/>
      <c r="N60" s="16" t="n">
        <v>3.489356022</v>
      </c>
      <c r="O60" s="6" t="inlineStr">
        <is>
          <t>evening under 5% (watchdog)</t>
        </is>
      </c>
      <c r="P60" s="15" t="inlineStr">
        <is>
          <t>Every-minute watchdog: evening rule, under +5% before the close</t>
        </is>
      </c>
      <c r="Q60" s="12" t="n"/>
      <c r="R60" s="6" t="n"/>
      <c r="S60" s="18" t="n"/>
      <c r="T60" s="12" t="n"/>
      <c r="U60" s="19" t="n"/>
      <c r="V60" s="19" t="n"/>
      <c r="W60" s="12" t="n"/>
      <c r="X60" s="6" t="n"/>
      <c r="Y60" s="19" t="n"/>
      <c r="Z60" s="6" t="n"/>
      <c r="AA60" s="12" t="n"/>
      <c r="AB60" s="15" t="n"/>
      <c r="AC60" s="6" t="n"/>
      <c r="AD60" s="6" t="n"/>
      <c r="AE60" s="17" t="n"/>
      <c r="AF60" s="17" t="n"/>
      <c r="AG60" s="17" t="n"/>
      <c r="AH60" s="20" t="n"/>
      <c r="AI60" s="18" t="n"/>
      <c r="AJ60" s="6" t="n"/>
      <c r="AK60" s="12" t="n"/>
      <c r="AL60" s="15" t="n"/>
      <c r="AM60" s="17" t="n"/>
      <c r="AN60" s="19" t="n"/>
      <c r="AO60" s="17" t="n"/>
      <c r="AP60" s="17" t="n"/>
      <c r="AQ60" s="19" t="n"/>
      <c r="AR60" s="16" t="n"/>
      <c r="AS60" s="17" t="n"/>
      <c r="AT60" s="19" t="n"/>
      <c r="AU60" s="6" t="inlineStr">
        <is>
          <t>paper</t>
        </is>
      </c>
      <c r="AV60" s="6" t="inlineStr">
        <is>
          <t>f6446b61-0fb1-4a55-af62-bfdd09ad3c3e</t>
        </is>
      </c>
      <c r="AW60" s="6" t="inlineStr">
        <is>
          <t>tdagent-wd-evening-LNG-1793215833366</t>
        </is>
      </c>
      <c r="AX60" s="13" t="n">
        <v>46323.81288194445</v>
      </c>
      <c r="AY60" s="13" t="n">
        <v>46323.81290509259</v>
      </c>
      <c r="AZ60" s="13" t="n"/>
      <c r="BA60" s="6" t="n"/>
    </row>
    <row r="61">
      <c r="A61" s="12" t="n">
        <v>60</v>
      </c>
      <c r="B61" s="13" t="n">
        <v>46323.85456018519</v>
      </c>
      <c r="C61" s="13" t="n">
        <v>46323.64622685185</v>
      </c>
      <c r="D61" s="13" t="n">
        <v>46323.81289351852</v>
      </c>
      <c r="E61" s="21" t="inlineStr">
        <is>
          <t>SELL</t>
        </is>
      </c>
      <c r="F61" s="6" t="inlineStr">
        <is>
          <t>MA</t>
        </is>
      </c>
      <c r="G61" s="15" t="n"/>
      <c r="H61" s="6" t="n"/>
      <c r="I61" s="6" t="inlineStr">
        <is>
          <t>filled</t>
        </is>
      </c>
      <c r="J61" s="16" t="n">
        <v>0.852029044</v>
      </c>
      <c r="K61" s="17" t="n">
        <v>612.568</v>
      </c>
      <c r="L61" s="17">
        <f>IF(AND(ISNUMBER(J61),ISNUMBER(K61)),J61*K61,"")</f>
        <v/>
      </c>
      <c r="M61" s="17" t="n"/>
      <c r="N61" s="16" t="n">
        <v>0.852029044</v>
      </c>
      <c r="O61" s="6" t="inlineStr">
        <is>
          <t>evening under 5% (watchdog)</t>
        </is>
      </c>
      <c r="P61" s="15" t="inlineStr">
        <is>
          <t>Every-minute watchdog: evening rule, under +5% before the close</t>
        </is>
      </c>
      <c r="Q61" s="12" t="n"/>
      <c r="R61" s="6" t="n"/>
      <c r="S61" s="18" t="n"/>
      <c r="T61" s="12" t="n"/>
      <c r="U61" s="19" t="n"/>
      <c r="V61" s="19" t="n"/>
      <c r="W61" s="12" t="n"/>
      <c r="X61" s="6" t="n"/>
      <c r="Y61" s="19" t="n"/>
      <c r="Z61" s="6" t="n"/>
      <c r="AA61" s="12" t="n"/>
      <c r="AB61" s="15" t="n"/>
      <c r="AC61" s="6" t="n"/>
      <c r="AD61" s="6" t="n"/>
      <c r="AE61" s="17" t="n"/>
      <c r="AF61" s="17" t="n"/>
      <c r="AG61" s="17" t="n"/>
      <c r="AH61" s="20" t="n"/>
      <c r="AI61" s="18" t="n"/>
      <c r="AJ61" s="6" t="n"/>
      <c r="AK61" s="12" t="n"/>
      <c r="AL61" s="15" t="n"/>
      <c r="AM61" s="17" t="n"/>
      <c r="AN61" s="19" t="n"/>
      <c r="AO61" s="17" t="n"/>
      <c r="AP61" s="17" t="n"/>
      <c r="AQ61" s="19" t="n"/>
      <c r="AR61" s="16" t="n"/>
      <c r="AS61" s="17" t="n"/>
      <c r="AT61" s="19" t="n"/>
      <c r="AU61" s="6" t="inlineStr">
        <is>
          <t>paper</t>
        </is>
      </c>
      <c r="AV61" s="6" t="inlineStr">
        <is>
          <t>c2f75328-b02e-4fd9-a6d3-34f8f02b82df</t>
        </is>
      </c>
      <c r="AW61" s="6" t="inlineStr">
        <is>
          <t>tdagent-wd-evening-MA-1793215834729</t>
        </is>
      </c>
      <c r="AX61" s="13" t="n">
        <v>46323.81289351852</v>
      </c>
      <c r="AY61" s="13" t="n">
        <v>46323.81289351852</v>
      </c>
      <c r="AZ61" s="13" t="n"/>
      <c r="BA61" s="6" t="n"/>
    </row>
    <row r="62">
      <c r="A62" s="12" t="n">
        <v>61</v>
      </c>
      <c r="B62" s="13" t="n">
        <v>46323.85459490741</v>
      </c>
      <c r="C62" s="13" t="n">
        <v>46323.64626157407</v>
      </c>
      <c r="D62" s="13" t="n">
        <v>46323.81292824074</v>
      </c>
      <c r="E62" s="21" t="inlineStr">
        <is>
          <t>SELL</t>
        </is>
      </c>
      <c r="F62" s="6" t="inlineStr">
        <is>
          <t>MCK</t>
        </is>
      </c>
      <c r="G62" s="15" t="n"/>
      <c r="H62" s="6" t="n"/>
      <c r="I62" s="6" t="inlineStr">
        <is>
          <t>filled</t>
        </is>
      </c>
      <c r="J62" s="16" t="n">
        <v>8.620135337000001</v>
      </c>
      <c r="K62" s="17" t="n">
        <v>959.34</v>
      </c>
      <c r="L62" s="17">
        <f>IF(AND(ISNUMBER(J62),ISNUMBER(K62)),J62*K62,"")</f>
        <v/>
      </c>
      <c r="M62" s="17" t="n"/>
      <c r="N62" s="16" t="n">
        <v>8.620135337000001</v>
      </c>
      <c r="O62" s="6" t="inlineStr">
        <is>
          <t>evening under 5% (watchdog)</t>
        </is>
      </c>
      <c r="P62" s="15" t="inlineStr">
        <is>
          <t>Every-minute watchdog: evening rule, under +5% before the close</t>
        </is>
      </c>
      <c r="Q62" s="12" t="n"/>
      <c r="R62" s="6" t="n"/>
      <c r="S62" s="18" t="n"/>
      <c r="T62" s="12" t="n"/>
      <c r="U62" s="19" t="n"/>
      <c r="V62" s="19" t="n"/>
      <c r="W62" s="12" t="n"/>
      <c r="X62" s="6" t="n"/>
      <c r="Y62" s="19" t="n"/>
      <c r="Z62" s="6" t="n"/>
      <c r="AA62" s="12" t="n"/>
      <c r="AB62" s="15" t="n"/>
      <c r="AC62" s="6" t="n"/>
      <c r="AD62" s="6" t="n"/>
      <c r="AE62" s="17" t="n"/>
      <c r="AF62" s="17" t="n"/>
      <c r="AG62" s="17" t="n"/>
      <c r="AH62" s="20" t="n"/>
      <c r="AI62" s="18" t="n"/>
      <c r="AJ62" s="6" t="n"/>
      <c r="AK62" s="12" t="n"/>
      <c r="AL62" s="15" t="n"/>
      <c r="AM62" s="17" t="n"/>
      <c r="AN62" s="19" t="n"/>
      <c r="AO62" s="17" t="n"/>
      <c r="AP62" s="17" t="n"/>
      <c r="AQ62" s="19" t="n"/>
      <c r="AR62" s="16" t="n"/>
      <c r="AS62" s="17" t="n"/>
      <c r="AT62" s="19" t="n"/>
      <c r="AU62" s="6" t="inlineStr">
        <is>
          <t>paper</t>
        </is>
      </c>
      <c r="AV62" s="6" t="inlineStr">
        <is>
          <t>1cbaf7af-df8c-49b5-a02a-0b94c3695da5</t>
        </is>
      </c>
      <c r="AW62" s="6" t="inlineStr">
        <is>
          <t>tdagent-wd-evening-MCK-1793215836074</t>
        </is>
      </c>
      <c r="AX62" s="13" t="n">
        <v>46323.81291666667</v>
      </c>
      <c r="AY62" s="13" t="n">
        <v>46323.81292824074</v>
      </c>
      <c r="AZ62" s="13" t="n"/>
      <c r="BA62" s="6" t="n"/>
    </row>
    <row r="63">
      <c r="A63" s="12" t="n">
        <v>62</v>
      </c>
      <c r="B63" s="13" t="n">
        <v>46323.8546412037</v>
      </c>
      <c r="C63" s="13" t="n">
        <v>46323.64630787037</v>
      </c>
      <c r="D63" s="13" t="n">
        <v>46323.81297453704</v>
      </c>
      <c r="E63" s="21" t="inlineStr">
        <is>
          <t>SELL</t>
        </is>
      </c>
      <c r="F63" s="6" t="inlineStr">
        <is>
          <t>MNST</t>
        </is>
      </c>
      <c r="G63" s="15" t="n"/>
      <c r="H63" s="6" t="n"/>
      <c r="I63" s="6" t="inlineStr">
        <is>
          <t>filled</t>
        </is>
      </c>
      <c r="J63" s="16" t="n">
        <v>184.54038504</v>
      </c>
      <c r="K63" s="17" t="n">
        <v>45.67</v>
      </c>
      <c r="L63" s="17">
        <f>IF(AND(ISNUMBER(J63),ISNUMBER(K63)),J63*K63,"")</f>
        <v/>
      </c>
      <c r="M63" s="17" t="n"/>
      <c r="N63" s="16" t="n">
        <v>184.54038504</v>
      </c>
      <c r="O63" s="6" t="inlineStr">
        <is>
          <t>evening under 5% (watchdog)</t>
        </is>
      </c>
      <c r="P63" s="15" t="inlineStr">
        <is>
          <t>Every-minute watchdog: evening rule, under +5% before the close</t>
        </is>
      </c>
      <c r="Q63" s="12" t="n"/>
      <c r="R63" s="6" t="n"/>
      <c r="S63" s="18" t="n"/>
      <c r="T63" s="12" t="n"/>
      <c r="U63" s="19" t="n"/>
      <c r="V63" s="19" t="n"/>
      <c r="W63" s="12" t="n"/>
      <c r="X63" s="6" t="n"/>
      <c r="Y63" s="19" t="n"/>
      <c r="Z63" s="6" t="n"/>
      <c r="AA63" s="12" t="n"/>
      <c r="AB63" s="15" t="n"/>
      <c r="AC63" s="6" t="n"/>
      <c r="AD63" s="6" t="n"/>
      <c r="AE63" s="17" t="n"/>
      <c r="AF63" s="17" t="n"/>
      <c r="AG63" s="17" t="n"/>
      <c r="AH63" s="20" t="n"/>
      <c r="AI63" s="18" t="n"/>
      <c r="AJ63" s="6" t="n"/>
      <c r="AK63" s="12" t="n"/>
      <c r="AL63" s="15" t="n"/>
      <c r="AM63" s="17" t="n"/>
      <c r="AN63" s="19" t="n"/>
      <c r="AO63" s="17" t="n"/>
      <c r="AP63" s="17" t="n"/>
      <c r="AQ63" s="19" t="n"/>
      <c r="AR63" s="16" t="n"/>
      <c r="AS63" s="17" t="n"/>
      <c r="AT63" s="19" t="n"/>
      <c r="AU63" s="6" t="inlineStr">
        <is>
          <t>paper</t>
        </is>
      </c>
      <c r="AV63" s="6" t="inlineStr">
        <is>
          <t>4738e0cb-2c25-4745-9f69-03c405f631f5</t>
        </is>
      </c>
      <c r="AW63" s="6" t="inlineStr">
        <is>
          <t>tdagent-wd-evening-MNST-1793215837443</t>
        </is>
      </c>
      <c r="AX63" s="13" t="n">
        <v>46323.81292824074</v>
      </c>
      <c r="AY63" s="13" t="n">
        <v>46323.81297453704</v>
      </c>
      <c r="AZ63" s="13" t="n"/>
      <c r="BA63" s="6" t="n"/>
    </row>
    <row r="64">
      <c r="A64" s="12" t="n">
        <v>63</v>
      </c>
      <c r="B64" s="13" t="n">
        <v>46323.85461805556</v>
      </c>
      <c r="C64" s="13" t="n">
        <v>46323.64628472222</v>
      </c>
      <c r="D64" s="13" t="n">
        <v>46323.81295138889</v>
      </c>
      <c r="E64" s="21" t="inlineStr">
        <is>
          <t>SELL</t>
        </is>
      </c>
      <c r="F64" s="6" t="inlineStr">
        <is>
          <t>MO</t>
        </is>
      </c>
      <c r="G64" s="15" t="n"/>
      <c r="H64" s="6" t="n"/>
      <c r="I64" s="6" t="inlineStr">
        <is>
          <t>filled</t>
        </is>
      </c>
      <c r="J64" s="16" t="n">
        <v>14.214489601</v>
      </c>
      <c r="K64" s="17" t="n">
        <v>73.23</v>
      </c>
      <c r="L64" s="17">
        <f>IF(AND(ISNUMBER(J64),ISNUMBER(K64)),J64*K64,"")</f>
        <v/>
      </c>
      <c r="M64" s="17" t="n"/>
      <c r="N64" s="16" t="n">
        <v>14.214489601</v>
      </c>
      <c r="O64" s="6" t="inlineStr">
        <is>
          <t>evening under 5% (watchdog)</t>
        </is>
      </c>
      <c r="P64" s="15" t="inlineStr">
        <is>
          <t>Every-minute watchdog: evening rule, under +5% before the close</t>
        </is>
      </c>
      <c r="Q64" s="12" t="n"/>
      <c r="R64" s="6" t="n"/>
      <c r="S64" s="18" t="n"/>
      <c r="T64" s="12" t="n"/>
      <c r="U64" s="19" t="n"/>
      <c r="V64" s="19" t="n"/>
      <c r="W64" s="12" t="n"/>
      <c r="X64" s="6" t="n"/>
      <c r="Y64" s="19" t="n"/>
      <c r="Z64" s="6" t="n"/>
      <c r="AA64" s="12" t="n"/>
      <c r="AB64" s="15" t="n"/>
      <c r="AC64" s="6" t="n"/>
      <c r="AD64" s="6" t="n"/>
      <c r="AE64" s="17" t="n"/>
      <c r="AF64" s="17" t="n"/>
      <c r="AG64" s="17" t="n"/>
      <c r="AH64" s="20" t="n"/>
      <c r="AI64" s="18" t="n"/>
      <c r="AJ64" s="6" t="n"/>
      <c r="AK64" s="12" t="n"/>
      <c r="AL64" s="15" t="n"/>
      <c r="AM64" s="17" t="n"/>
      <c r="AN64" s="19" t="n"/>
      <c r="AO64" s="17" t="n"/>
      <c r="AP64" s="17" t="n"/>
      <c r="AQ64" s="19" t="n"/>
      <c r="AR64" s="16" t="n"/>
      <c r="AS64" s="17" t="n"/>
      <c r="AT64" s="19" t="n"/>
      <c r="AU64" s="6" t="inlineStr">
        <is>
          <t>paper</t>
        </is>
      </c>
      <c r="AV64" s="6" t="inlineStr">
        <is>
          <t>c3ad0775-b864-4e0e-a442-53a048adc811</t>
        </is>
      </c>
      <c r="AW64" s="6" t="inlineStr">
        <is>
          <t>tdagent-wd-evening-MO-1793215838801</t>
        </is>
      </c>
      <c r="AX64" s="13" t="n">
        <v>46323.81293981482</v>
      </c>
      <c r="AY64" s="13" t="n">
        <v>46323.81295138889</v>
      </c>
      <c r="AZ64" s="13" t="n"/>
      <c r="BA64" s="6" t="n"/>
    </row>
    <row r="65">
      <c r="A65" s="12" t="n">
        <v>64</v>
      </c>
      <c r="B65" s="13" t="n">
        <v>46323.85462962963</v>
      </c>
      <c r="C65" s="13" t="n">
        <v>46323.6462962963</v>
      </c>
      <c r="D65" s="13" t="n">
        <v>46323.81296296296</v>
      </c>
      <c r="E65" s="21" t="inlineStr">
        <is>
          <t>SELL</t>
        </is>
      </c>
      <c r="F65" s="6" t="inlineStr">
        <is>
          <t>MPC</t>
        </is>
      </c>
      <c r="G65" s="15" t="n"/>
      <c r="H65" s="6" t="n"/>
      <c r="I65" s="6" t="inlineStr">
        <is>
          <t>filled</t>
        </is>
      </c>
      <c r="J65" s="16" t="n">
        <v>0.19946772</v>
      </c>
      <c r="K65" s="17" t="n">
        <v>442.04</v>
      </c>
      <c r="L65" s="17">
        <f>IF(AND(ISNUMBER(J65),ISNUMBER(K65)),J65*K65,"")</f>
        <v/>
      </c>
      <c r="M65" s="17" t="n"/>
      <c r="N65" s="16" t="n">
        <v>0.19946772</v>
      </c>
      <c r="O65" s="6" t="inlineStr">
        <is>
          <t>evening under 5% (watchdog)</t>
        </is>
      </c>
      <c r="P65" s="15" t="inlineStr">
        <is>
          <t>Every-minute watchdog: evening rule, under +5% before the close</t>
        </is>
      </c>
      <c r="Q65" s="12" t="n"/>
      <c r="R65" s="6" t="n"/>
      <c r="S65" s="18" t="n"/>
      <c r="T65" s="12" t="n"/>
      <c r="U65" s="19" t="n"/>
      <c r="V65" s="19" t="n"/>
      <c r="W65" s="12" t="n"/>
      <c r="X65" s="6" t="n"/>
      <c r="Y65" s="19" t="n"/>
      <c r="Z65" s="6" t="n"/>
      <c r="AA65" s="12" t="n"/>
      <c r="AB65" s="15" t="n"/>
      <c r="AC65" s="6" t="n"/>
      <c r="AD65" s="6" t="n"/>
      <c r="AE65" s="17" t="n"/>
      <c r="AF65" s="17" t="n"/>
      <c r="AG65" s="17" t="n"/>
      <c r="AH65" s="20" t="n"/>
      <c r="AI65" s="18" t="n"/>
      <c r="AJ65" s="6" t="n"/>
      <c r="AK65" s="12" t="n"/>
      <c r="AL65" s="15" t="n"/>
      <c r="AM65" s="17" t="n"/>
      <c r="AN65" s="19" t="n"/>
      <c r="AO65" s="17" t="n"/>
      <c r="AP65" s="17" t="n"/>
      <c r="AQ65" s="19" t="n"/>
      <c r="AR65" s="16" t="n"/>
      <c r="AS65" s="17" t="n"/>
      <c r="AT65" s="19" t="n"/>
      <c r="AU65" s="6" t="inlineStr">
        <is>
          <t>paper</t>
        </is>
      </c>
      <c r="AV65" s="6" t="inlineStr">
        <is>
          <t>1f0db5c0-bbf7-4a79-adad-ddc5fe2a6212</t>
        </is>
      </c>
      <c r="AW65" s="6" t="inlineStr">
        <is>
          <t>tdagent-wd-evening-MPC-1793215840170</t>
        </is>
      </c>
      <c r="AX65" s="13" t="n">
        <v>46323.81296296296</v>
      </c>
      <c r="AY65" s="13" t="n">
        <v>46323.81296296296</v>
      </c>
      <c r="AZ65" s="13" t="n"/>
      <c r="BA65" s="6" t="n"/>
    </row>
    <row r="66">
      <c r="A66" s="12" t="n">
        <v>65</v>
      </c>
      <c r="B66" s="13" t="n">
        <v>46323.85466435185</v>
      </c>
      <c r="C66" s="13" t="n">
        <v>46323.64633101852</v>
      </c>
      <c r="D66" s="13" t="n">
        <v>46323.81299768519</v>
      </c>
      <c r="E66" s="21" t="inlineStr">
        <is>
          <t>SELL</t>
        </is>
      </c>
      <c r="F66" s="6" t="inlineStr">
        <is>
          <t>NTRA</t>
        </is>
      </c>
      <c r="G66" s="15" t="n"/>
      <c r="H66" s="6" t="n"/>
      <c r="I66" s="6" t="inlineStr">
        <is>
          <t>filled</t>
        </is>
      </c>
      <c r="J66" s="16" t="n">
        <v>2.434491107</v>
      </c>
      <c r="K66" s="17" t="n">
        <v>427.12</v>
      </c>
      <c r="L66" s="17">
        <f>IF(AND(ISNUMBER(J66),ISNUMBER(K66)),J66*K66,"")</f>
        <v/>
      </c>
      <c r="M66" s="17" t="n"/>
      <c r="N66" s="16" t="n">
        <v>2.434491107</v>
      </c>
      <c r="O66" s="6" t="inlineStr">
        <is>
          <t>evening under 5% (watchdog)</t>
        </is>
      </c>
      <c r="P66" s="15" t="inlineStr">
        <is>
          <t>Every-minute watchdog: evening rule, under +5% before the close</t>
        </is>
      </c>
      <c r="Q66" s="12" t="n"/>
      <c r="R66" s="6" t="n"/>
      <c r="S66" s="18" t="n"/>
      <c r="T66" s="12" t="n"/>
      <c r="U66" s="19" t="n"/>
      <c r="V66" s="19" t="n"/>
      <c r="W66" s="12" t="n"/>
      <c r="X66" s="6" t="n"/>
      <c r="Y66" s="19" t="n"/>
      <c r="Z66" s="6" t="n"/>
      <c r="AA66" s="12" t="n"/>
      <c r="AB66" s="15" t="n"/>
      <c r="AC66" s="6" t="n"/>
      <c r="AD66" s="6" t="n"/>
      <c r="AE66" s="17" t="n"/>
      <c r="AF66" s="17" t="n"/>
      <c r="AG66" s="17" t="n"/>
      <c r="AH66" s="20" t="n"/>
      <c r="AI66" s="18" t="n"/>
      <c r="AJ66" s="6" t="n"/>
      <c r="AK66" s="12" t="n"/>
      <c r="AL66" s="15" t="n"/>
      <c r="AM66" s="17" t="n"/>
      <c r="AN66" s="19" t="n"/>
      <c r="AO66" s="17" t="n"/>
      <c r="AP66" s="17" t="n"/>
      <c r="AQ66" s="19" t="n"/>
      <c r="AR66" s="16" t="n"/>
      <c r="AS66" s="17" t="n"/>
      <c r="AT66" s="19" t="n"/>
      <c r="AU66" s="6" t="inlineStr">
        <is>
          <t>paper</t>
        </is>
      </c>
      <c r="AV66" s="6" t="inlineStr">
        <is>
          <t>296a097e-6f40-4873-b358-c3ec6cb2e91d</t>
        </is>
      </c>
      <c r="AW66" s="6" t="inlineStr">
        <is>
          <t>tdagent-wd-evening-NTRA-1793215841512</t>
        </is>
      </c>
      <c r="AX66" s="13" t="n">
        <v>46323.81297453704</v>
      </c>
      <c r="AY66" s="13" t="n">
        <v>46323.81299768519</v>
      </c>
      <c r="AZ66" s="13" t="n"/>
      <c r="BA66" s="6" t="n"/>
    </row>
    <row r="67">
      <c r="A67" s="12" t="n">
        <v>66</v>
      </c>
      <c r="B67" s="13" t="n">
        <v>46323.85467592593</v>
      </c>
      <c r="C67" s="13" t="n">
        <v>46323.64634259259</v>
      </c>
      <c r="D67" s="13" t="n">
        <v>46323.81300925926</v>
      </c>
      <c r="E67" s="21" t="inlineStr">
        <is>
          <t>SELL</t>
        </is>
      </c>
      <c r="F67" s="6" t="inlineStr">
        <is>
          <t>OXY</t>
        </is>
      </c>
      <c r="G67" s="15" t="n"/>
      <c r="H67" s="6" t="n"/>
      <c r="I67" s="6" t="inlineStr">
        <is>
          <t>filled</t>
        </is>
      </c>
      <c r="J67" s="16" t="n">
        <v>132.295201779</v>
      </c>
      <c r="K67" s="17" t="n">
        <v>63.186349</v>
      </c>
      <c r="L67" s="17">
        <f>IF(AND(ISNUMBER(J67),ISNUMBER(K67)),J67*K67,"")</f>
        <v/>
      </c>
      <c r="M67" s="17" t="n"/>
      <c r="N67" s="16" t="n">
        <v>132.295201779</v>
      </c>
      <c r="O67" s="6" t="inlineStr">
        <is>
          <t>evening under 5% (watchdog)</t>
        </is>
      </c>
      <c r="P67" s="15" t="inlineStr">
        <is>
          <t>Every-minute watchdog: evening rule, under +5% before the close</t>
        </is>
      </c>
      <c r="Q67" s="12" t="n"/>
      <c r="R67" s="6" t="n"/>
      <c r="S67" s="18" t="n"/>
      <c r="T67" s="12" t="n"/>
      <c r="U67" s="19" t="n"/>
      <c r="V67" s="19" t="n"/>
      <c r="W67" s="12" t="n"/>
      <c r="X67" s="6" t="n"/>
      <c r="Y67" s="19" t="n"/>
      <c r="Z67" s="6" t="n"/>
      <c r="AA67" s="12" t="n"/>
      <c r="AB67" s="15" t="n"/>
      <c r="AC67" s="6" t="n"/>
      <c r="AD67" s="6" t="n"/>
      <c r="AE67" s="17" t="n"/>
      <c r="AF67" s="17" t="n"/>
      <c r="AG67" s="17" t="n"/>
      <c r="AH67" s="20" t="n"/>
      <c r="AI67" s="18" t="n"/>
      <c r="AJ67" s="6" t="n"/>
      <c r="AK67" s="12" t="n"/>
      <c r="AL67" s="15" t="n"/>
      <c r="AM67" s="17" t="n"/>
      <c r="AN67" s="19" t="n"/>
      <c r="AO67" s="17" t="n"/>
      <c r="AP67" s="17" t="n"/>
      <c r="AQ67" s="19" t="n"/>
      <c r="AR67" s="16" t="n"/>
      <c r="AS67" s="17" t="n"/>
      <c r="AT67" s="19" t="n"/>
      <c r="AU67" s="6" t="inlineStr">
        <is>
          <t>paper</t>
        </is>
      </c>
      <c r="AV67" s="6" t="inlineStr">
        <is>
          <t>e7f04beb-2d54-4819-b1af-8900d56301f5</t>
        </is>
      </c>
      <c r="AW67" s="6" t="inlineStr">
        <is>
          <t>tdagent-wd-evening-OXY-1793215842873</t>
        </is>
      </c>
      <c r="AX67" s="13" t="n">
        <v>46323.81299768519</v>
      </c>
      <c r="AY67" s="13" t="n">
        <v>46323.81300925926</v>
      </c>
      <c r="AZ67" s="13" t="n"/>
      <c r="BA67" s="6" t="n"/>
    </row>
    <row r="68">
      <c r="A68" s="12" t="n">
        <v>67</v>
      </c>
      <c r="B68" s="13" t="n">
        <v>46323.85472222222</v>
      </c>
      <c r="C68" s="13" t="n">
        <v>46323.64638888889</v>
      </c>
      <c r="D68" s="13" t="n">
        <v>46323.81305555555</v>
      </c>
      <c r="E68" s="21" t="inlineStr">
        <is>
          <t>SELL</t>
        </is>
      </c>
      <c r="F68" s="6" t="inlineStr">
        <is>
          <t>PBR.A</t>
        </is>
      </c>
      <c r="G68" s="15" t="n"/>
      <c r="H68" s="6" t="n"/>
      <c r="I68" s="6" t="inlineStr">
        <is>
          <t>filled</t>
        </is>
      </c>
      <c r="J68" s="16" t="n">
        <v>211.579533941</v>
      </c>
      <c r="K68" s="17" t="n">
        <v>19.779925</v>
      </c>
      <c r="L68" s="17">
        <f>IF(AND(ISNUMBER(J68),ISNUMBER(K68)),J68*K68,"")</f>
        <v/>
      </c>
      <c r="M68" s="17" t="n"/>
      <c r="N68" s="16" t="n">
        <v>211.579533941</v>
      </c>
      <c r="O68" s="6" t="inlineStr">
        <is>
          <t>evening under 5% (watchdog)</t>
        </is>
      </c>
      <c r="P68" s="15" t="inlineStr">
        <is>
          <t>Every-minute watchdog: evening rule, under +5% before the close</t>
        </is>
      </c>
      <c r="Q68" s="12" t="n"/>
      <c r="R68" s="6" t="n"/>
      <c r="S68" s="18" t="n"/>
      <c r="T68" s="12" t="n"/>
      <c r="U68" s="19" t="n"/>
      <c r="V68" s="19" t="n"/>
      <c r="W68" s="12" t="n"/>
      <c r="X68" s="6" t="n"/>
      <c r="Y68" s="19" t="n"/>
      <c r="Z68" s="6" t="n"/>
      <c r="AA68" s="12" t="n"/>
      <c r="AB68" s="15" t="n"/>
      <c r="AC68" s="6" t="n"/>
      <c r="AD68" s="6" t="n"/>
      <c r="AE68" s="17" t="n"/>
      <c r="AF68" s="17" t="n"/>
      <c r="AG68" s="17" t="n"/>
      <c r="AH68" s="20" t="n"/>
      <c r="AI68" s="18" t="n"/>
      <c r="AJ68" s="6" t="n"/>
      <c r="AK68" s="12" t="n"/>
      <c r="AL68" s="15" t="n"/>
      <c r="AM68" s="17" t="n"/>
      <c r="AN68" s="19" t="n"/>
      <c r="AO68" s="17" t="n"/>
      <c r="AP68" s="17" t="n"/>
      <c r="AQ68" s="19" t="n"/>
      <c r="AR68" s="16" t="n"/>
      <c r="AS68" s="17" t="n"/>
      <c r="AT68" s="19" t="n"/>
      <c r="AU68" s="6" t="inlineStr">
        <is>
          <t>paper</t>
        </is>
      </c>
      <c r="AV68" s="6" t="inlineStr">
        <is>
          <t>59c7a439-754b-4dab-ac2c-45cf18aea1e0</t>
        </is>
      </c>
      <c r="AW68" s="6" t="inlineStr">
        <is>
          <t>tdagent-wd-evening-PBR.A-1793215844413</t>
        </is>
      </c>
      <c r="AX68" s="13" t="n">
        <v>46323.81300925926</v>
      </c>
      <c r="AY68" s="13" t="n">
        <v>46323.81305555555</v>
      </c>
      <c r="AZ68" s="13" t="n"/>
      <c r="BA68" s="6" t="n"/>
    </row>
    <row r="69">
      <c r="A69" s="12" t="n">
        <v>68</v>
      </c>
      <c r="B69" s="13" t="n">
        <v>46323.8546875</v>
      </c>
      <c r="C69" s="13" t="n">
        <v>46323.64635416667</v>
      </c>
      <c r="D69" s="13" t="n">
        <v>46323.81302083333</v>
      </c>
      <c r="E69" s="21" t="inlineStr">
        <is>
          <t>SELL</t>
        </is>
      </c>
      <c r="F69" s="6" t="inlineStr">
        <is>
          <t>PSX</t>
        </is>
      </c>
      <c r="G69" s="15" t="n"/>
      <c r="H69" s="6" t="n"/>
      <c r="I69" s="6" t="inlineStr">
        <is>
          <t>filled</t>
        </is>
      </c>
      <c r="J69" s="16" t="n">
        <v>0.323158986</v>
      </c>
      <c r="K69" s="17" t="n">
        <v>273.476</v>
      </c>
      <c r="L69" s="17">
        <f>IF(AND(ISNUMBER(J69),ISNUMBER(K69)),J69*K69,"")</f>
        <v/>
      </c>
      <c r="M69" s="17" t="n"/>
      <c r="N69" s="16" t="n">
        <v>0.323158986</v>
      </c>
      <c r="O69" s="6" t="inlineStr">
        <is>
          <t>evening under 5% (watchdog)</t>
        </is>
      </c>
      <c r="P69" s="15" t="inlineStr">
        <is>
          <t>Every-minute watchdog: evening rule, under +5% before the close</t>
        </is>
      </c>
      <c r="Q69" s="12" t="n"/>
      <c r="R69" s="6" t="n"/>
      <c r="S69" s="18" t="n"/>
      <c r="T69" s="12" t="n"/>
      <c r="U69" s="19" t="n"/>
      <c r="V69" s="19" t="n"/>
      <c r="W69" s="12" t="n"/>
      <c r="X69" s="6" t="n"/>
      <c r="Y69" s="19" t="n"/>
      <c r="Z69" s="6" t="n"/>
      <c r="AA69" s="12" t="n"/>
      <c r="AB69" s="15" t="n"/>
      <c r="AC69" s="6" t="n"/>
      <c r="AD69" s="6" t="n"/>
      <c r="AE69" s="17" t="n"/>
      <c r="AF69" s="17" t="n"/>
      <c r="AG69" s="17" t="n"/>
      <c r="AH69" s="20" t="n"/>
      <c r="AI69" s="18" t="n"/>
      <c r="AJ69" s="6" t="n"/>
      <c r="AK69" s="12" t="n"/>
      <c r="AL69" s="15" t="n"/>
      <c r="AM69" s="17" t="n"/>
      <c r="AN69" s="19" t="n"/>
      <c r="AO69" s="17" t="n"/>
      <c r="AP69" s="17" t="n"/>
      <c r="AQ69" s="19" t="n"/>
      <c r="AR69" s="16" t="n"/>
      <c r="AS69" s="17" t="n"/>
      <c r="AT69" s="19" t="n"/>
      <c r="AU69" s="6" t="inlineStr">
        <is>
          <t>paper</t>
        </is>
      </c>
      <c r="AV69" s="6" t="inlineStr">
        <is>
          <t>9d75ff07-7e08-4f59-be02-9900eaae6063</t>
        </is>
      </c>
      <c r="AW69" s="6" t="inlineStr">
        <is>
          <t>tdagent-wd-evening-PSX-1793215845765</t>
        </is>
      </c>
      <c r="AX69" s="13" t="n">
        <v>46323.81302083333</v>
      </c>
      <c r="AY69" s="13" t="n">
        <v>46323.81302083333</v>
      </c>
      <c r="AZ69" s="13" t="n"/>
      <c r="BA69" s="6" t="n"/>
    </row>
    <row r="70">
      <c r="A70" s="12" t="n">
        <v>69</v>
      </c>
      <c r="B70" s="13" t="n">
        <v>46323.85471064815</v>
      </c>
      <c r="C70" s="13" t="n">
        <v>46323.64637731481</v>
      </c>
      <c r="D70" s="13" t="n">
        <v>46323.81304398148</v>
      </c>
      <c r="E70" s="21" t="inlineStr">
        <is>
          <t>SELL</t>
        </is>
      </c>
      <c r="F70" s="6" t="inlineStr">
        <is>
          <t>REGN</t>
        </is>
      </c>
      <c r="G70" s="15" t="n"/>
      <c r="H70" s="6" t="n"/>
      <c r="I70" s="6" t="inlineStr">
        <is>
          <t>filled</t>
        </is>
      </c>
      <c r="J70" s="16" t="n">
        <v>0.083680668</v>
      </c>
      <c r="K70" s="17" t="n">
        <v>810.48</v>
      </c>
      <c r="L70" s="17">
        <f>IF(AND(ISNUMBER(J70),ISNUMBER(K70)),J70*K70,"")</f>
        <v/>
      </c>
      <c r="M70" s="17" t="n"/>
      <c r="N70" s="16" t="n">
        <v>0.083680668</v>
      </c>
      <c r="O70" s="6" t="inlineStr">
        <is>
          <t>evening under 5% (watchdog)</t>
        </is>
      </c>
      <c r="P70" s="15" t="inlineStr">
        <is>
          <t>Every-minute watchdog: evening rule, under +5% before the close</t>
        </is>
      </c>
      <c r="Q70" s="12" t="n"/>
      <c r="R70" s="6" t="n"/>
      <c r="S70" s="18" t="n"/>
      <c r="T70" s="12" t="n"/>
      <c r="U70" s="19" t="n"/>
      <c r="V70" s="19" t="n"/>
      <c r="W70" s="12" t="n"/>
      <c r="X70" s="6" t="n"/>
      <c r="Y70" s="19" t="n"/>
      <c r="Z70" s="6" t="n"/>
      <c r="AA70" s="12" t="n"/>
      <c r="AB70" s="15" t="n"/>
      <c r="AC70" s="6" t="n"/>
      <c r="AD70" s="6" t="n"/>
      <c r="AE70" s="17" t="n"/>
      <c r="AF70" s="17" t="n"/>
      <c r="AG70" s="17" t="n"/>
      <c r="AH70" s="20" t="n"/>
      <c r="AI70" s="18" t="n"/>
      <c r="AJ70" s="6" t="n"/>
      <c r="AK70" s="12" t="n"/>
      <c r="AL70" s="15" t="n"/>
      <c r="AM70" s="17" t="n"/>
      <c r="AN70" s="19" t="n"/>
      <c r="AO70" s="17" t="n"/>
      <c r="AP70" s="17" t="n"/>
      <c r="AQ70" s="19" t="n"/>
      <c r="AR70" s="16" t="n"/>
      <c r="AS70" s="17" t="n"/>
      <c r="AT70" s="19" t="n"/>
      <c r="AU70" s="6" t="inlineStr">
        <is>
          <t>paper</t>
        </is>
      </c>
      <c r="AV70" s="6" t="inlineStr">
        <is>
          <t>f7ccdc37-ea56-4dcf-b793-2e2d754c5388</t>
        </is>
      </c>
      <c r="AW70" s="6" t="inlineStr">
        <is>
          <t>tdagent-wd-evening-REGN-1793215847104</t>
        </is>
      </c>
      <c r="AX70" s="13" t="n">
        <v>46323.81304398148</v>
      </c>
      <c r="AY70" s="13" t="n">
        <v>46323.81304398148</v>
      </c>
      <c r="AZ70" s="13" t="n"/>
      <c r="BA70" s="6" t="n"/>
    </row>
    <row r="71">
      <c r="A71" s="12" t="n">
        <v>70</v>
      </c>
      <c r="B71" s="13" t="n">
        <v>46323.85476851852</v>
      </c>
      <c r="C71" s="13" t="n">
        <v>46323.64643518518</v>
      </c>
      <c r="D71" s="13" t="n">
        <v>46323.81310185185</v>
      </c>
      <c r="E71" s="21" t="inlineStr">
        <is>
          <t>SELL</t>
        </is>
      </c>
      <c r="F71" s="6" t="inlineStr">
        <is>
          <t>SHEL</t>
        </is>
      </c>
      <c r="G71" s="15" t="n"/>
      <c r="H71" s="6" t="n"/>
      <c r="I71" s="6" t="inlineStr">
        <is>
          <t>filled</t>
        </is>
      </c>
      <c r="J71" s="16" t="n">
        <v>79.375047619</v>
      </c>
      <c r="K71" s="17" t="n">
        <v>105.486426</v>
      </c>
      <c r="L71" s="17">
        <f>IF(AND(ISNUMBER(J71),ISNUMBER(K71)),J71*K71,"")</f>
        <v/>
      </c>
      <c r="M71" s="17" t="n"/>
      <c r="N71" s="16" t="n">
        <v>79.375047619</v>
      </c>
      <c r="O71" s="6" t="inlineStr">
        <is>
          <t>evening under 5% (watchdog)</t>
        </is>
      </c>
      <c r="P71" s="15" t="inlineStr">
        <is>
          <t>Every-minute watchdog: evening rule, under +5% before the close</t>
        </is>
      </c>
      <c r="Q71" s="12" t="n"/>
      <c r="R71" s="6" t="n"/>
      <c r="S71" s="18" t="n"/>
      <c r="T71" s="12" t="n"/>
      <c r="U71" s="19" t="n"/>
      <c r="V71" s="19" t="n"/>
      <c r="W71" s="12" t="n"/>
      <c r="X71" s="6" t="n"/>
      <c r="Y71" s="19" t="n"/>
      <c r="Z71" s="6" t="n"/>
      <c r="AA71" s="12" t="n"/>
      <c r="AB71" s="15" t="n"/>
      <c r="AC71" s="6" t="n"/>
      <c r="AD71" s="6" t="n"/>
      <c r="AE71" s="17" t="n"/>
      <c r="AF71" s="17" t="n"/>
      <c r="AG71" s="17" t="n"/>
      <c r="AH71" s="20" t="n"/>
      <c r="AI71" s="18" t="n"/>
      <c r="AJ71" s="6" t="n"/>
      <c r="AK71" s="12" t="n"/>
      <c r="AL71" s="15" t="n"/>
      <c r="AM71" s="17" t="n"/>
      <c r="AN71" s="19" t="n"/>
      <c r="AO71" s="17" t="n"/>
      <c r="AP71" s="17" t="n"/>
      <c r="AQ71" s="19" t="n"/>
      <c r="AR71" s="16" t="n"/>
      <c r="AS71" s="17" t="n"/>
      <c r="AT71" s="19" t="n"/>
      <c r="AU71" s="6" t="inlineStr">
        <is>
          <t>paper</t>
        </is>
      </c>
      <c r="AV71" s="6" t="inlineStr">
        <is>
          <t>4f273e09-685f-45ff-8b93-5289151b596c</t>
        </is>
      </c>
      <c r="AW71" s="6" t="inlineStr">
        <is>
          <t>tdagent-wd-evening-SHEL-1793215848475</t>
        </is>
      </c>
      <c r="AX71" s="13" t="n">
        <v>46323.81305555555</v>
      </c>
      <c r="AY71" s="13" t="n">
        <v>46323.81310185185</v>
      </c>
      <c r="AZ71" s="13" t="n"/>
      <c r="BA71" s="6" t="n"/>
    </row>
    <row r="72">
      <c r="A72" s="12" t="n">
        <v>71</v>
      </c>
      <c r="B72" s="13" t="n">
        <v>46323.85474537037</v>
      </c>
      <c r="C72" s="13" t="n">
        <v>46323.64641203704</v>
      </c>
      <c r="D72" s="13" t="n">
        <v>46323.8130787037</v>
      </c>
      <c r="E72" s="21" t="inlineStr">
        <is>
          <t>SELL</t>
        </is>
      </c>
      <c r="F72" s="6" t="inlineStr">
        <is>
          <t>SO</t>
        </is>
      </c>
      <c r="G72" s="15" t="n"/>
      <c r="H72" s="6" t="n"/>
      <c r="I72" s="6" t="inlineStr">
        <is>
          <t>filled</t>
        </is>
      </c>
      <c r="J72" s="16" t="n">
        <v>1.348382763</v>
      </c>
      <c r="K72" s="17" t="n">
        <v>91.59999999999999</v>
      </c>
      <c r="L72" s="17">
        <f>IF(AND(ISNUMBER(J72),ISNUMBER(K72)),J72*K72,"")</f>
        <v/>
      </c>
      <c r="M72" s="17" t="n"/>
      <c r="N72" s="16" t="n">
        <v>1.348382763</v>
      </c>
      <c r="O72" s="6" t="inlineStr">
        <is>
          <t>evening under 5% (watchdog)</t>
        </is>
      </c>
      <c r="P72" s="15" t="inlineStr">
        <is>
          <t>Every-minute watchdog: evening rule, under +5% before the close</t>
        </is>
      </c>
      <c r="Q72" s="12" t="n"/>
      <c r="R72" s="6" t="n"/>
      <c r="S72" s="18" t="n"/>
      <c r="T72" s="12" t="n"/>
      <c r="U72" s="19" t="n"/>
      <c r="V72" s="19" t="n"/>
      <c r="W72" s="12" t="n"/>
      <c r="X72" s="6" t="n"/>
      <c r="Y72" s="19" t="n"/>
      <c r="Z72" s="6" t="n"/>
      <c r="AA72" s="12" t="n"/>
      <c r="AB72" s="15" t="n"/>
      <c r="AC72" s="6" t="n"/>
      <c r="AD72" s="6" t="n"/>
      <c r="AE72" s="17" t="n"/>
      <c r="AF72" s="17" t="n"/>
      <c r="AG72" s="17" t="n"/>
      <c r="AH72" s="20" t="n"/>
      <c r="AI72" s="18" t="n"/>
      <c r="AJ72" s="6" t="n"/>
      <c r="AK72" s="12" t="n"/>
      <c r="AL72" s="15" t="n"/>
      <c r="AM72" s="17" t="n"/>
      <c r="AN72" s="19" t="n"/>
      <c r="AO72" s="17" t="n"/>
      <c r="AP72" s="17" t="n"/>
      <c r="AQ72" s="19" t="n"/>
      <c r="AR72" s="16" t="n"/>
      <c r="AS72" s="17" t="n"/>
      <c r="AT72" s="19" t="n"/>
      <c r="AU72" s="6" t="inlineStr">
        <is>
          <t>paper</t>
        </is>
      </c>
      <c r="AV72" s="6" t="inlineStr">
        <is>
          <t>e928c244-9f2a-49be-9037-96375011a7e7</t>
        </is>
      </c>
      <c r="AW72" s="6" t="inlineStr">
        <is>
          <t>tdagent-wd-evening-SO-1793215849828</t>
        </is>
      </c>
      <c r="AX72" s="13" t="n">
        <v>46323.81306712963</v>
      </c>
      <c r="AY72" s="13" t="n">
        <v>46323.8130787037</v>
      </c>
      <c r="AZ72" s="13" t="n"/>
      <c r="BA72" s="6" t="n"/>
    </row>
    <row r="73">
      <c r="A73" s="12" t="n">
        <v>72</v>
      </c>
      <c r="B73" s="13" t="n">
        <v>46323.85476851852</v>
      </c>
      <c r="C73" s="13" t="n">
        <v>46323.64643518518</v>
      </c>
      <c r="D73" s="13" t="n">
        <v>46323.81310185185</v>
      </c>
      <c r="E73" s="21" t="inlineStr">
        <is>
          <t>SELL</t>
        </is>
      </c>
      <c r="F73" s="6" t="inlineStr">
        <is>
          <t>TMO</t>
        </is>
      </c>
      <c r="G73" s="15" t="n"/>
      <c r="H73" s="6" t="n"/>
      <c r="I73" s="6" t="inlineStr">
        <is>
          <t>filled</t>
        </is>
      </c>
      <c r="J73" s="16" t="n">
        <v>11.937064238</v>
      </c>
      <c r="K73" s="17" t="n">
        <v>705.6</v>
      </c>
      <c r="L73" s="17">
        <f>IF(AND(ISNUMBER(J73),ISNUMBER(K73)),J73*K73,"")</f>
        <v/>
      </c>
      <c r="M73" s="17" t="n"/>
      <c r="N73" s="16" t="n">
        <v>11.937064238</v>
      </c>
      <c r="O73" s="6" t="inlineStr">
        <is>
          <t>evening under 5% (watchdog)</t>
        </is>
      </c>
      <c r="P73" s="15" t="inlineStr">
        <is>
          <t>Every-minute watchdog: evening rule, under +5% before the close</t>
        </is>
      </c>
      <c r="Q73" s="12" t="n"/>
      <c r="R73" s="6" t="n"/>
      <c r="S73" s="18" t="n"/>
      <c r="T73" s="12" t="n"/>
      <c r="U73" s="19" t="n"/>
      <c r="V73" s="19" t="n"/>
      <c r="W73" s="12" t="n"/>
      <c r="X73" s="6" t="n"/>
      <c r="Y73" s="19" t="n"/>
      <c r="Z73" s="6" t="n"/>
      <c r="AA73" s="12" t="n"/>
      <c r="AB73" s="15" t="n"/>
      <c r="AC73" s="6" t="n"/>
      <c r="AD73" s="6" t="n"/>
      <c r="AE73" s="17" t="n"/>
      <c r="AF73" s="17" t="n"/>
      <c r="AG73" s="17" t="n"/>
      <c r="AH73" s="20" t="n"/>
      <c r="AI73" s="18" t="n"/>
      <c r="AJ73" s="6" t="n"/>
      <c r="AK73" s="12" t="n"/>
      <c r="AL73" s="15" t="n"/>
      <c r="AM73" s="17" t="n"/>
      <c r="AN73" s="19" t="n"/>
      <c r="AO73" s="17" t="n"/>
      <c r="AP73" s="17" t="n"/>
      <c r="AQ73" s="19" t="n"/>
      <c r="AR73" s="16" t="n"/>
      <c r="AS73" s="17" t="n"/>
      <c r="AT73" s="19" t="n"/>
      <c r="AU73" s="6" t="inlineStr">
        <is>
          <t>paper</t>
        </is>
      </c>
      <c r="AV73" s="6" t="inlineStr">
        <is>
          <t>d0b9b04c-efbc-45ee-a684-634fe792ccb0</t>
        </is>
      </c>
      <c r="AW73" s="6" t="inlineStr">
        <is>
          <t>tdagent-wd-evening-TMO-1793215851174</t>
        </is>
      </c>
      <c r="AX73" s="13" t="n">
        <v>46323.81309027778</v>
      </c>
      <c r="AY73" s="13" t="n">
        <v>46323.81310185185</v>
      </c>
      <c r="AZ73" s="13" t="n"/>
      <c r="BA73" s="6" t="n"/>
    </row>
    <row r="74">
      <c r="A74" s="12" t="n">
        <v>73</v>
      </c>
      <c r="B74" s="13" t="n">
        <v>46323.8547800926</v>
      </c>
      <c r="C74" s="13" t="n">
        <v>46323.64644675926</v>
      </c>
      <c r="D74" s="13" t="n">
        <v>46323.81311342592</v>
      </c>
      <c r="E74" s="21" t="inlineStr">
        <is>
          <t>SELL</t>
        </is>
      </c>
      <c r="F74" s="6" t="inlineStr">
        <is>
          <t>UTHR</t>
        </is>
      </c>
      <c r="G74" s="15" t="n"/>
      <c r="H74" s="6" t="n"/>
      <c r="I74" s="6" t="inlineStr">
        <is>
          <t>filled</t>
        </is>
      </c>
      <c r="J74" s="16" t="n">
        <v>7.111731176</v>
      </c>
      <c r="K74" s="17" t="n">
        <v>584.76</v>
      </c>
      <c r="L74" s="17">
        <f>IF(AND(ISNUMBER(J74),ISNUMBER(K74)),J74*K74,"")</f>
        <v/>
      </c>
      <c r="M74" s="17" t="n"/>
      <c r="N74" s="16" t="n">
        <v>7.111731176</v>
      </c>
      <c r="O74" s="6" t="inlineStr">
        <is>
          <t>evening under 5% (watchdog)</t>
        </is>
      </c>
      <c r="P74" s="15" t="inlineStr">
        <is>
          <t>Every-minute watchdog: evening rule, under +5% before the close</t>
        </is>
      </c>
      <c r="Q74" s="12" t="n"/>
      <c r="R74" s="6" t="n"/>
      <c r="S74" s="18" t="n"/>
      <c r="T74" s="12" t="n"/>
      <c r="U74" s="19" t="n"/>
      <c r="V74" s="19" t="n"/>
      <c r="W74" s="12" t="n"/>
      <c r="X74" s="6" t="n"/>
      <c r="Y74" s="19" t="n"/>
      <c r="Z74" s="6" t="n"/>
      <c r="AA74" s="12" t="n"/>
      <c r="AB74" s="15" t="n"/>
      <c r="AC74" s="6" t="n"/>
      <c r="AD74" s="6" t="n"/>
      <c r="AE74" s="17" t="n"/>
      <c r="AF74" s="17" t="n"/>
      <c r="AG74" s="17" t="n"/>
      <c r="AH74" s="20" t="n"/>
      <c r="AI74" s="18" t="n"/>
      <c r="AJ74" s="6" t="n"/>
      <c r="AK74" s="12" t="n"/>
      <c r="AL74" s="15" t="n"/>
      <c r="AM74" s="17" t="n"/>
      <c r="AN74" s="19" t="n"/>
      <c r="AO74" s="17" t="n"/>
      <c r="AP74" s="17" t="n"/>
      <c r="AQ74" s="19" t="n"/>
      <c r="AR74" s="16" t="n"/>
      <c r="AS74" s="17" t="n"/>
      <c r="AT74" s="19" t="n"/>
      <c r="AU74" s="6" t="inlineStr">
        <is>
          <t>paper</t>
        </is>
      </c>
      <c r="AV74" s="6" t="inlineStr">
        <is>
          <t>8b0a7b04-ea32-44e6-b0fb-6e7acef961bf</t>
        </is>
      </c>
      <c r="AW74" s="6" t="inlineStr">
        <is>
          <t>tdagent-wd-evening-UTHR-1793215852531</t>
        </is>
      </c>
      <c r="AX74" s="13" t="n">
        <v>46323.81310185185</v>
      </c>
      <c r="AY74" s="13" t="n">
        <v>46323.81311342592</v>
      </c>
      <c r="AZ74" s="13" t="n"/>
      <c r="BA74" s="6" t="n"/>
    </row>
    <row r="75">
      <c r="A75" s="12" t="n">
        <v>74</v>
      </c>
      <c r="B75" s="13" t="n">
        <v>46323.85480324074</v>
      </c>
      <c r="C75" s="13" t="n">
        <v>46323.64646990741</v>
      </c>
      <c r="D75" s="13" t="n">
        <v>46323.81313657408</v>
      </c>
      <c r="E75" s="21" t="inlineStr">
        <is>
          <t>SELL</t>
        </is>
      </c>
      <c r="F75" s="6" t="inlineStr">
        <is>
          <t>WTW</t>
        </is>
      </c>
      <c r="G75" s="15" t="n"/>
      <c r="H75" s="6" t="n"/>
      <c r="I75" s="6" t="inlineStr">
        <is>
          <t>filled</t>
        </is>
      </c>
      <c r="J75" s="16" t="n">
        <v>3.263614517</v>
      </c>
      <c r="K75" s="17" t="n">
        <v>321.15</v>
      </c>
      <c r="L75" s="17">
        <f>IF(AND(ISNUMBER(J75),ISNUMBER(K75)),J75*K75,"")</f>
        <v/>
      </c>
      <c r="M75" s="17" t="n"/>
      <c r="N75" s="16" t="n">
        <v>3.263614517</v>
      </c>
      <c r="O75" s="6" t="inlineStr">
        <is>
          <t>evening under 5% (watchdog)</t>
        </is>
      </c>
      <c r="P75" s="15" t="inlineStr">
        <is>
          <t>Every-minute watchdog: evening rule, under +5% before the close</t>
        </is>
      </c>
      <c r="Q75" s="12" t="n"/>
      <c r="R75" s="6" t="n"/>
      <c r="S75" s="18" t="n"/>
      <c r="T75" s="12" t="n"/>
      <c r="U75" s="19" t="n"/>
      <c r="V75" s="19" t="n"/>
      <c r="W75" s="12" t="n"/>
      <c r="X75" s="6" t="n"/>
      <c r="Y75" s="19" t="n"/>
      <c r="Z75" s="6" t="n"/>
      <c r="AA75" s="12" t="n"/>
      <c r="AB75" s="15" t="n"/>
      <c r="AC75" s="6" t="n"/>
      <c r="AD75" s="6" t="n"/>
      <c r="AE75" s="17" t="n"/>
      <c r="AF75" s="17" t="n"/>
      <c r="AG75" s="17" t="n"/>
      <c r="AH75" s="20" t="n"/>
      <c r="AI75" s="18" t="n"/>
      <c r="AJ75" s="6" t="n"/>
      <c r="AK75" s="12" t="n"/>
      <c r="AL75" s="15" t="n"/>
      <c r="AM75" s="17" t="n"/>
      <c r="AN75" s="19" t="n"/>
      <c r="AO75" s="17" t="n"/>
      <c r="AP75" s="17" t="n"/>
      <c r="AQ75" s="19" t="n"/>
      <c r="AR75" s="16" t="n"/>
      <c r="AS75" s="17" t="n"/>
      <c r="AT75" s="19" t="n"/>
      <c r="AU75" s="6" t="inlineStr">
        <is>
          <t>paper</t>
        </is>
      </c>
      <c r="AV75" s="6" t="inlineStr">
        <is>
          <t>a1e562c0-783e-46a1-a0d1-7da042b5b3c8</t>
        </is>
      </c>
      <c r="AW75" s="6" t="inlineStr">
        <is>
          <t>tdagent-wd-evening-WTW-1793215853872</t>
        </is>
      </c>
      <c r="AX75" s="13" t="n">
        <v>46323.813125</v>
      </c>
      <c r="AY75" s="13" t="n">
        <v>46323.81313657408</v>
      </c>
      <c r="AZ75" s="13" t="n"/>
      <c r="BA75" s="6" t="n"/>
    </row>
    <row r="76">
      <c r="A76" s="12" t="n">
        <v>75</v>
      </c>
      <c r="B76" s="13" t="n">
        <v>46324.6062962963</v>
      </c>
      <c r="C76" s="13" t="n">
        <v>46324.39796296296</v>
      </c>
      <c r="D76" s="13" t="n">
        <v>46324.56462962963</v>
      </c>
      <c r="E76" s="14" t="inlineStr">
        <is>
          <t>BUY</t>
        </is>
      </c>
      <c r="F76" s="6" t="inlineStr">
        <is>
          <t>ADI</t>
        </is>
      </c>
      <c r="G76" s="15" t="inlineStr">
        <is>
          <t>Analog Devices, Inc. Common Stock</t>
        </is>
      </c>
      <c r="H76" s="6" t="inlineStr">
        <is>
          <t>NASDAQ</t>
        </is>
      </c>
      <c r="I76" s="6" t="inlineStr">
        <is>
          <t>filled</t>
        </is>
      </c>
      <c r="J76" s="16" t="n">
        <v>19.536817436</v>
      </c>
      <c r="K76" s="17" t="n">
        <v>427.19138</v>
      </c>
      <c r="L76" s="17">
        <f>IF(AND(ISNUMBER(J76),ISNUMBER(K76)),J76*K76,"")</f>
        <v/>
      </c>
      <c r="M76" s="17" t="n">
        <v>8345.969999999999</v>
      </c>
      <c r="N76" s="16" t="n"/>
      <c r="O76" s="6" t="inlineStr">
        <is>
          <t>4+/5 green</t>
        </is>
      </c>
      <c r="P76" s="15" t="inlineStr">
        <is>
          <t>5 of 5 green, time machine green, rank #1, 8.33% of the $100,191.79 free cash split 12 ways</t>
        </is>
      </c>
      <c r="Q76" s="12" t="n">
        <v>5</v>
      </c>
      <c r="R76" s="6" t="inlineStr">
        <is>
          <t>ok</t>
        </is>
      </c>
      <c r="S76" s="18" t="n">
        <v>0.707</v>
      </c>
      <c r="T76" s="12" t="n">
        <v>75</v>
      </c>
      <c r="U76" s="19" t="n">
        <v>0.0147</v>
      </c>
      <c r="V76" s="19" t="n">
        <v>-0.1395</v>
      </c>
      <c r="W76" s="12" t="n">
        <v>1</v>
      </c>
      <c r="X76" s="6" t="inlineStr">
        <is>
          <t>ok</t>
        </is>
      </c>
      <c r="Y76" s="19" t="n">
        <v>0.0003</v>
      </c>
      <c r="Z76" s="6" t="inlineStr">
        <is>
          <t>ok</t>
        </is>
      </c>
      <c r="AA76" s="12" t="n">
        <v>100</v>
      </c>
      <c r="AB76" s="15" t="n"/>
      <c r="AC76" s="6" t="inlineStr">
        <is>
          <t>ok</t>
        </is>
      </c>
      <c r="AD76" s="6" t="inlineStr">
        <is>
          <t>up</t>
        </is>
      </c>
      <c r="AE76" s="17" t="n">
        <v>435.9943</v>
      </c>
      <c r="AF76" s="17" t="n">
        <v>416.9835</v>
      </c>
      <c r="AG76" s="17" t="n">
        <v>455.0052</v>
      </c>
      <c r="AH76" s="20" t="n">
        <v>46331</v>
      </c>
      <c r="AI76" s="18" t="n">
        <v>0.53</v>
      </c>
      <c r="AJ76" s="6" t="inlineStr">
        <is>
          <t>ok</t>
        </is>
      </c>
      <c r="AK76" s="12" t="n">
        <v>1</v>
      </c>
      <c r="AL76" s="15" t="inlineStr">
        <is>
          <t>Analog Devices Adopts ChipAgents AI Platform for Semiconductor Design</t>
        </is>
      </c>
      <c r="AM76" s="17" t="n">
        <v>428.5</v>
      </c>
      <c r="AN76" s="19" t="n">
        <v>0.0074</v>
      </c>
      <c r="AO76" s="17" t="n">
        <v>100191.79</v>
      </c>
      <c r="AP76" s="17" t="n">
        <v>100191.79</v>
      </c>
      <c r="AQ76" s="19" t="n">
        <v>0.0833</v>
      </c>
      <c r="AR76" s="16" t="n"/>
      <c r="AS76" s="17" t="n"/>
      <c r="AT76" s="19" t="n"/>
      <c r="AU76" s="6" t="inlineStr">
        <is>
          <t>paper</t>
        </is>
      </c>
      <c r="AV76" s="6" t="inlineStr">
        <is>
          <t>945e18ba-dacb-4f18-8f6d-b6d52b27a5b1</t>
        </is>
      </c>
      <c r="AW76" s="6" t="inlineStr">
        <is>
          <t>tdagent-buy-ADI-1793280647910</t>
        </is>
      </c>
      <c r="AX76" s="13" t="n">
        <v>46324.56304398148</v>
      </c>
      <c r="AY76" s="13" t="n">
        <v>46324.56462962963</v>
      </c>
      <c r="AZ76" s="13" t="n">
        <v>46324.56267361111</v>
      </c>
      <c r="BA76" s="6" t="n"/>
    </row>
    <row r="77">
      <c r="A77" s="12" t="n">
        <v>76</v>
      </c>
      <c r="B77" s="13" t="n">
        <v>46324.60716435185</v>
      </c>
      <c r="C77" s="13" t="n">
        <v>46324.39883101852</v>
      </c>
      <c r="D77" s="13" t="n">
        <v>46324.56549768519</v>
      </c>
      <c r="E77" s="14" t="inlineStr">
        <is>
          <t>BUY</t>
        </is>
      </c>
      <c r="F77" s="6" t="inlineStr">
        <is>
          <t>NTRA</t>
        </is>
      </c>
      <c r="G77" s="15" t="inlineStr">
        <is>
          <t>Natera, Inc. Common Stock</t>
        </is>
      </c>
      <c r="H77" s="6" t="inlineStr">
        <is>
          <t>NASDAQ</t>
        </is>
      </c>
      <c r="I77" s="6" t="inlineStr">
        <is>
          <t>filled</t>
        </is>
      </c>
      <c r="J77" s="16" t="n">
        <v>19.644723215</v>
      </c>
      <c r="K77" s="17" t="n">
        <v>424.844876</v>
      </c>
      <c r="L77" s="17">
        <f>IF(AND(ISNUMBER(J77),ISNUMBER(K77)),J77*K77,"")</f>
        <v/>
      </c>
      <c r="M77" s="17" t="n">
        <v>8345.969999999999</v>
      </c>
      <c r="N77" s="16" t="n"/>
      <c r="O77" s="6" t="inlineStr">
        <is>
          <t>4+/5 green</t>
        </is>
      </c>
      <c r="P77" s="15" t="inlineStr">
        <is>
          <t>5 of 5 green, time machine green, rank #2, 8.33% of the $100,191.79 free cash split 12 ways</t>
        </is>
      </c>
      <c r="Q77" s="12" t="n">
        <v>5</v>
      </c>
      <c r="R77" s="6" t="inlineStr">
        <is>
          <t>ok</t>
        </is>
      </c>
      <c r="S77" s="18" t="n">
        <v>0.697</v>
      </c>
      <c r="T77" s="12" t="n">
        <v>66</v>
      </c>
      <c r="U77" s="19" t="n">
        <v>0.0283</v>
      </c>
      <c r="V77" s="19" t="n">
        <v>-0.1395</v>
      </c>
      <c r="W77" s="12" t="n">
        <v>2</v>
      </c>
      <c r="X77" s="6" t="inlineStr">
        <is>
          <t>ok</t>
        </is>
      </c>
      <c r="Y77" s="19" t="n">
        <v>0.0046</v>
      </c>
      <c r="Z77" s="6" t="inlineStr">
        <is>
          <t>ok</t>
        </is>
      </c>
      <c r="AA77" s="12" t="n">
        <v>100</v>
      </c>
      <c r="AB77" s="15" t="n"/>
      <c r="AC77" s="6" t="inlineStr">
        <is>
          <t>ok</t>
        </is>
      </c>
      <c r="AD77" s="6" t="inlineStr">
        <is>
          <t>up</t>
        </is>
      </c>
      <c r="AE77" s="17" t="n">
        <v>437.523</v>
      </c>
      <c r="AF77" s="17" t="n">
        <v>404.5655</v>
      </c>
      <c r="AG77" s="17" t="n">
        <v>470.4804</v>
      </c>
      <c r="AH77" s="20" t="n">
        <v>46331</v>
      </c>
      <c r="AI77" s="18" t="n">
        <v>0.53</v>
      </c>
      <c r="AJ77" s="6" t="inlineStr">
        <is>
          <t>ok</t>
        </is>
      </c>
      <c r="AK77" s="12" t="n">
        <v>4</v>
      </c>
      <c r="AL77" s="15" t="inlineStr">
        <is>
          <t>BTIG Maintains Buy on Natera, Raises Price Target to $430</t>
        </is>
      </c>
      <c r="AM77" s="17" t="n">
        <v>422.38</v>
      </c>
      <c r="AN77" s="19" t="n">
        <v>0.0329</v>
      </c>
      <c r="AO77" s="17" t="n">
        <v>100191.79</v>
      </c>
      <c r="AP77" s="17" t="n">
        <v>100191.79</v>
      </c>
      <c r="AQ77" s="19" t="n">
        <v>0.0833</v>
      </c>
      <c r="AR77" s="16" t="n"/>
      <c r="AS77" s="17" t="n"/>
      <c r="AT77" s="19" t="n"/>
      <c r="AU77" s="6" t="inlineStr">
        <is>
          <t>paper</t>
        </is>
      </c>
      <c r="AV77" s="6" t="inlineStr">
        <is>
          <t>f905344b-0702-4074-925b-69965f045190</t>
        </is>
      </c>
      <c r="AW77" s="6" t="inlineStr">
        <is>
          <t>tdagent-buy-NTRA-1793280647961</t>
        </is>
      </c>
      <c r="AX77" s="13" t="n">
        <v>46324.56304398148</v>
      </c>
      <c r="AY77" s="13" t="n">
        <v>46324.56549768519</v>
      </c>
      <c r="AZ77" s="13" t="n">
        <v>46324.56267361111</v>
      </c>
      <c r="BA77" s="6" t="n"/>
    </row>
    <row r="78">
      <c r="A78" s="12" t="n">
        <v>77</v>
      </c>
      <c r="B78" s="13" t="n">
        <v>46324.60688657407</v>
      </c>
      <c r="C78" s="13" t="n">
        <v>46324.39855324074</v>
      </c>
      <c r="D78" s="13" t="n">
        <v>46324.56521990741</v>
      </c>
      <c r="E78" s="14" t="inlineStr">
        <is>
          <t>BUY</t>
        </is>
      </c>
      <c r="F78" s="6" t="inlineStr">
        <is>
          <t>TMO</t>
        </is>
      </c>
      <c r="G78" s="15" t="inlineStr">
        <is>
          <t>Thermo Fisher Scientific, Inc.</t>
        </is>
      </c>
      <c r="H78" s="6" t="inlineStr">
        <is>
          <t>NYSE</t>
        </is>
      </c>
      <c r="I78" s="6" t="inlineStr">
        <is>
          <t>filled</t>
        </is>
      </c>
      <c r="J78" s="16" t="n">
        <v>11.851651941</v>
      </c>
      <c r="K78" s="17" t="n">
        <v>704.202253</v>
      </c>
      <c r="L78" s="17">
        <f>IF(AND(ISNUMBER(J78),ISNUMBER(K78)),J78*K78,"")</f>
        <v/>
      </c>
      <c r="M78" s="17" t="n">
        <v>8345.969999999999</v>
      </c>
      <c r="N78" s="16" t="n"/>
      <c r="O78" s="6" t="inlineStr">
        <is>
          <t>4+/5 green</t>
        </is>
      </c>
      <c r="P78" s="15" t="inlineStr">
        <is>
          <t>5 of 5 green, time machine green, rank #3, 8.33% of the $100,191.79 free cash split 12 ways</t>
        </is>
      </c>
      <c r="Q78" s="12" t="n">
        <v>5</v>
      </c>
      <c r="R78" s="6" t="inlineStr">
        <is>
          <t>ok</t>
        </is>
      </c>
      <c r="S78" s="18" t="n">
        <v>0.667</v>
      </c>
      <c r="T78" s="12" t="n">
        <v>81</v>
      </c>
      <c r="U78" s="19" t="n">
        <v>0.0134</v>
      </c>
      <c r="V78" s="19" t="n">
        <v>-0.1395</v>
      </c>
      <c r="W78" s="12" t="n">
        <v>3</v>
      </c>
      <c r="X78" s="6" t="inlineStr">
        <is>
          <t>ok</t>
        </is>
      </c>
      <c r="Y78" s="19" t="n">
        <v>0.0034</v>
      </c>
      <c r="Z78" s="6" t="inlineStr">
        <is>
          <t>ok</t>
        </is>
      </c>
      <c r="AA78" s="12" t="n">
        <v>100</v>
      </c>
      <c r="AB78" s="15" t="n"/>
      <c r="AC78" s="6" t="inlineStr">
        <is>
          <t>ok</t>
        </is>
      </c>
      <c r="AD78" s="6" t="inlineStr">
        <is>
          <t>up</t>
        </is>
      </c>
      <c r="AE78" s="17" t="n">
        <v>714.9629</v>
      </c>
      <c r="AF78" s="17" t="n">
        <v>689.6806</v>
      </c>
      <c r="AG78" s="17" t="n">
        <v>740.2453</v>
      </c>
      <c r="AH78" s="20" t="n">
        <v>46331</v>
      </c>
      <c r="AI78" s="18" t="n">
        <v>0.54</v>
      </c>
      <c r="AJ78" s="6" t="inlineStr">
        <is>
          <t>ok</t>
        </is>
      </c>
      <c r="AK78" s="12" t="n">
        <v>2</v>
      </c>
      <c r="AL78" s="15" t="inlineStr">
        <is>
          <t>Evercore ISI Adjusts Thermo Fisher Scientific Price Target</t>
        </is>
      </c>
      <c r="AM78" s="17" t="n">
        <v>702.4400000000001</v>
      </c>
      <c r="AN78" s="19" t="n">
        <v>0.017</v>
      </c>
      <c r="AO78" s="17" t="n">
        <v>100191.79</v>
      </c>
      <c r="AP78" s="17" t="n">
        <v>100191.79</v>
      </c>
      <c r="AQ78" s="19" t="n">
        <v>0.0833</v>
      </c>
      <c r="AR78" s="16" t="n"/>
      <c r="AS78" s="17" t="n"/>
      <c r="AT78" s="19" t="n"/>
      <c r="AU78" s="6" t="inlineStr">
        <is>
          <t>paper</t>
        </is>
      </c>
      <c r="AV78" s="6" t="inlineStr">
        <is>
          <t>20e9d99f-3228-44b0-99cc-7e07dc593677</t>
        </is>
      </c>
      <c r="AW78" s="6" t="inlineStr">
        <is>
          <t>tdagent-buy-TMO-1793280648003</t>
        </is>
      </c>
      <c r="AX78" s="13" t="n">
        <v>46324.56305555555</v>
      </c>
      <c r="AY78" s="13" t="n">
        <v>46324.56521990741</v>
      </c>
      <c r="AZ78" s="13" t="n">
        <v>46324.56267361111</v>
      </c>
      <c r="BA78" s="6" t="n"/>
    </row>
    <row r="79">
      <c r="A79" s="12" t="n">
        <v>78</v>
      </c>
      <c r="B79" s="13" t="n">
        <v>46324.60554398148</v>
      </c>
      <c r="C79" s="13" t="n">
        <v>46324.39721064815</v>
      </c>
      <c r="D79" s="13" t="n">
        <v>46324.56387731482</v>
      </c>
      <c r="E79" s="14" t="inlineStr">
        <is>
          <t>BUY</t>
        </is>
      </c>
      <c r="F79" s="6" t="inlineStr">
        <is>
          <t>OXY</t>
        </is>
      </c>
      <c r="G79" s="15" t="inlineStr">
        <is>
          <t>Occidental Petroleum Corporation</t>
        </is>
      </c>
      <c r="H79" s="6" t="inlineStr">
        <is>
          <t>NYSE</t>
        </is>
      </c>
      <c r="I79" s="6" t="inlineStr">
        <is>
          <t>filled</t>
        </is>
      </c>
      <c r="J79" s="16" t="n">
        <v>132.370499603</v>
      </c>
      <c r="K79" s="17" t="n">
        <v>63.05</v>
      </c>
      <c r="L79" s="17">
        <f>IF(AND(ISNUMBER(J79),ISNUMBER(K79)),J79*K79,"")</f>
        <v/>
      </c>
      <c r="M79" s="17" t="n">
        <v>8345.969999999999</v>
      </c>
      <c r="N79" s="16" t="n"/>
      <c r="O79" s="6" t="inlineStr">
        <is>
          <t>4+/5 green</t>
        </is>
      </c>
      <c r="P79" s="15" t="inlineStr">
        <is>
          <t>5 of 5 green, time machine green, rank #4, 8.33% of the $100,191.79 free cash split 12 ways</t>
        </is>
      </c>
      <c r="Q79" s="12" t="n">
        <v>5</v>
      </c>
      <c r="R79" s="6" t="inlineStr">
        <is>
          <t>ok</t>
        </is>
      </c>
      <c r="S79" s="18" t="n">
        <v>0.621</v>
      </c>
      <c r="T79" s="12" t="n">
        <v>58</v>
      </c>
      <c r="U79" s="19" t="n">
        <v>0.0105</v>
      </c>
      <c r="V79" s="19" t="n">
        <v>-0.1395</v>
      </c>
      <c r="W79" s="12" t="n">
        <v>4</v>
      </c>
      <c r="X79" s="6" t="inlineStr">
        <is>
          <t>ok</t>
        </is>
      </c>
      <c r="Y79" s="19" t="n">
        <v>0.0063</v>
      </c>
      <c r="Z79" s="6" t="inlineStr">
        <is>
          <t>ok</t>
        </is>
      </c>
      <c r="AA79" s="12" t="n">
        <v>100</v>
      </c>
      <c r="AB79" s="15" t="n"/>
      <c r="AC79" s="6" t="inlineStr">
        <is>
          <t>ok</t>
        </is>
      </c>
      <c r="AD79" s="6" t="inlineStr">
        <is>
          <t>up</t>
        </is>
      </c>
      <c r="AE79" s="17" t="n">
        <v>63.9326</v>
      </c>
      <c r="AF79" s="17" t="n">
        <v>61.2761</v>
      </c>
      <c r="AG79" s="17" t="n">
        <v>66.5891</v>
      </c>
      <c r="AH79" s="20" t="n">
        <v>46331</v>
      </c>
      <c r="AI79" s="18" t="n">
        <v>0.54</v>
      </c>
      <c r="AJ79" s="6" t="inlineStr">
        <is>
          <t>ok</t>
        </is>
      </c>
      <c r="AK79" s="12" t="n">
        <v>0</v>
      </c>
      <c r="AL79" s="15" t="n"/>
      <c r="AM79" s="17" t="n">
        <v>63.27</v>
      </c>
      <c r="AN79" s="19" t="n">
        <v>0.0022</v>
      </c>
      <c r="AO79" s="17" t="n">
        <v>100191.79</v>
      </c>
      <c r="AP79" s="17" t="n">
        <v>100191.79</v>
      </c>
      <c r="AQ79" s="19" t="n">
        <v>0.0833</v>
      </c>
      <c r="AR79" s="16" t="n"/>
      <c r="AS79" s="17" t="n"/>
      <c r="AT79" s="19" t="n"/>
      <c r="AU79" s="6" t="inlineStr">
        <is>
          <t>paper</t>
        </is>
      </c>
      <c r="AV79" s="6" t="inlineStr">
        <is>
          <t>8be935fc-0d73-4a10-9b3e-154f3b63f820</t>
        </is>
      </c>
      <c r="AW79" s="6" t="inlineStr">
        <is>
          <t>tdagent-buy-OXY-1793280648055</t>
        </is>
      </c>
      <c r="AX79" s="13" t="n">
        <v>46324.56305555555</v>
      </c>
      <c r="AY79" s="13" t="n">
        <v>46324.56387731482</v>
      </c>
      <c r="AZ79" s="13" t="n">
        <v>46324.56267361111</v>
      </c>
      <c r="BA79" s="6" t="n"/>
    </row>
    <row r="80">
      <c r="A80" s="12" t="n">
        <v>79</v>
      </c>
      <c r="B80" s="13" t="n">
        <v>46324.60677083334</v>
      </c>
      <c r="C80" s="13" t="n">
        <v>46324.3984375</v>
      </c>
      <c r="D80" s="13" t="n">
        <v>46324.56510416666</v>
      </c>
      <c r="E80" s="14" t="inlineStr">
        <is>
          <t>BUY</t>
        </is>
      </c>
      <c r="F80" s="6" t="inlineStr">
        <is>
          <t>WTW</t>
        </is>
      </c>
      <c r="G80" s="15" t="inlineStr">
        <is>
          <t>Willis Towers Watson Public Limited Company Ordinary Shares</t>
        </is>
      </c>
      <c r="H80" s="6" t="inlineStr">
        <is>
          <t>NASDAQ</t>
        </is>
      </c>
      <c r="I80" s="6" t="inlineStr">
        <is>
          <t>filled</t>
        </is>
      </c>
      <c r="J80" s="16" t="n">
        <v>26.078334421</v>
      </c>
      <c r="K80" s="17" t="n">
        <v>320.034243</v>
      </c>
      <c r="L80" s="17">
        <f>IF(AND(ISNUMBER(J80),ISNUMBER(K80)),J80*K80,"")</f>
        <v/>
      </c>
      <c r="M80" s="17" t="n">
        <v>8345.969999999999</v>
      </c>
      <c r="N80" s="16" t="n"/>
      <c r="O80" s="6" t="inlineStr">
        <is>
          <t>4+/5 green</t>
        </is>
      </c>
      <c r="P80" s="15" t="inlineStr">
        <is>
          <t>5 of 5 green, time machine green, rank #5, 8.33% of the $100,191.79 free cash split 12 ways</t>
        </is>
      </c>
      <c r="Q80" s="12" t="n">
        <v>5</v>
      </c>
      <c r="R80" s="6" t="inlineStr">
        <is>
          <t>ok</t>
        </is>
      </c>
      <c r="S80" s="18" t="n">
        <v>0.621</v>
      </c>
      <c r="T80" s="12" t="n">
        <v>29</v>
      </c>
      <c r="U80" s="19" t="n">
        <v>0.0212</v>
      </c>
      <c r="V80" s="19" t="n">
        <v>-0.1395</v>
      </c>
      <c r="W80" s="12" t="n">
        <v>5</v>
      </c>
      <c r="X80" s="6" t="inlineStr">
        <is>
          <t>ok</t>
        </is>
      </c>
      <c r="Y80" s="19" t="n">
        <v>0</v>
      </c>
      <c r="Z80" s="6" t="inlineStr">
        <is>
          <t>ok</t>
        </is>
      </c>
      <c r="AA80" s="12" t="n">
        <v>100</v>
      </c>
      <c r="AB80" s="15" t="n"/>
      <c r="AC80" s="6" t="inlineStr">
        <is>
          <t>ok</t>
        </is>
      </c>
      <c r="AD80" s="6" t="inlineStr">
        <is>
          <t>up</t>
        </is>
      </c>
      <c r="AE80" s="17" t="n">
        <v>326.195</v>
      </c>
      <c r="AF80" s="17" t="n">
        <v>314.8075</v>
      </c>
      <c r="AG80" s="17" t="n">
        <v>337.5825</v>
      </c>
      <c r="AH80" s="20" t="n">
        <v>46331</v>
      </c>
      <c r="AI80" s="18" t="n">
        <v>0.53</v>
      </c>
      <c r="AJ80" s="6" t="inlineStr">
        <is>
          <t>ok</t>
        </is>
      </c>
      <c r="AK80" s="12" t="n">
        <v>3</v>
      </c>
      <c r="AL80" s="15" t="inlineStr">
        <is>
          <t>Willis Towers Watson Q3 Adj. EPS $3.63 Beats $3.59 Estimate, Sales $2.460B Beat $2.455B Estimate</t>
        </is>
      </c>
      <c r="AM80" s="17" t="n">
        <v>321.64</v>
      </c>
      <c r="AN80" s="19" t="n">
        <v>0.0061</v>
      </c>
      <c r="AO80" s="17" t="n">
        <v>100191.79</v>
      </c>
      <c r="AP80" s="17" t="n">
        <v>100191.79</v>
      </c>
      <c r="AQ80" s="19" t="n">
        <v>0.0833</v>
      </c>
      <c r="AR80" s="16" t="n"/>
      <c r="AS80" s="17" t="n"/>
      <c r="AT80" s="19" t="n"/>
      <c r="AU80" s="6" t="inlineStr">
        <is>
          <t>paper</t>
        </is>
      </c>
      <c r="AV80" s="6" t="inlineStr">
        <is>
          <t>76d68fb4-073e-48a2-a54a-417213babaf1</t>
        </is>
      </c>
      <c r="AW80" s="6" t="inlineStr">
        <is>
          <t>tdagent-buy-WTW-1793280648101</t>
        </is>
      </c>
      <c r="AX80" s="13" t="n">
        <v>46324.56305555555</v>
      </c>
      <c r="AY80" s="13" t="n">
        <v>46324.56510416666</v>
      </c>
      <c r="AZ80" s="13" t="n">
        <v>46324.56267361111</v>
      </c>
      <c r="BA80" s="6" t="n"/>
    </row>
    <row r="81">
      <c r="A81" s="12" t="n">
        <v>80</v>
      </c>
      <c r="B81" s="13" t="n">
        <v>46324.60704861111</v>
      </c>
      <c r="C81" s="13" t="n">
        <v>46324.39871527778</v>
      </c>
      <c r="D81" s="13" t="n">
        <v>46324.56538194444</v>
      </c>
      <c r="E81" s="14" t="inlineStr">
        <is>
          <t>BUY</t>
        </is>
      </c>
      <c r="F81" s="6" t="inlineStr">
        <is>
          <t>MCK</t>
        </is>
      </c>
      <c r="G81" s="15" t="inlineStr">
        <is>
          <t>McKesson Corporation</t>
        </is>
      </c>
      <c r="H81" s="6" t="inlineStr">
        <is>
          <t>NYSE</t>
        </is>
      </c>
      <c r="I81" s="6" t="inlineStr">
        <is>
          <t>filled</t>
        </is>
      </c>
      <c r="J81" s="16" t="n">
        <v>8.556874402</v>
      </c>
      <c r="K81" s="17" t="n">
        <v>975.351467</v>
      </c>
      <c r="L81" s="17">
        <f>IF(AND(ISNUMBER(J81),ISNUMBER(K81)),J81*K81,"")</f>
        <v/>
      </c>
      <c r="M81" s="17" t="n">
        <v>8345.969999999999</v>
      </c>
      <c r="N81" s="16" t="n"/>
      <c r="O81" s="6" t="inlineStr">
        <is>
          <t>4+/5 green</t>
        </is>
      </c>
      <c r="P81" s="15" t="inlineStr">
        <is>
          <t>5 of 5 green, time machine green, rank #6, 8.33% of the $100,191.79 free cash split 12 ways</t>
        </is>
      </c>
      <c r="Q81" s="12" t="n">
        <v>5</v>
      </c>
      <c r="R81" s="6" t="inlineStr">
        <is>
          <t>ok</t>
        </is>
      </c>
      <c r="S81" s="18" t="n">
        <v>0.588</v>
      </c>
      <c r="T81" s="12" t="n">
        <v>68</v>
      </c>
      <c r="U81" s="19" t="n">
        <v>0.0019</v>
      </c>
      <c r="V81" s="19" t="n">
        <v>-0.1395</v>
      </c>
      <c r="W81" s="12" t="n">
        <v>6</v>
      </c>
      <c r="X81" s="6" t="inlineStr">
        <is>
          <t>ok</t>
        </is>
      </c>
      <c r="Y81" s="19" t="n">
        <v>0</v>
      </c>
      <c r="Z81" s="6" t="inlineStr">
        <is>
          <t>ok</t>
        </is>
      </c>
      <c r="AA81" s="12" t="n">
        <v>100</v>
      </c>
      <c r="AB81" s="15" t="n"/>
      <c r="AC81" s="6" t="inlineStr">
        <is>
          <t>ok</t>
        </is>
      </c>
      <c r="AD81" s="6" t="inlineStr">
        <is>
          <t>up</t>
        </is>
      </c>
      <c r="AE81" s="17" t="n">
        <v>976.5787</v>
      </c>
      <c r="AF81" s="17" t="n">
        <v>938.082</v>
      </c>
      <c r="AG81" s="17" t="n">
        <v>1015.0753</v>
      </c>
      <c r="AH81" s="20" t="n">
        <v>46331</v>
      </c>
      <c r="AI81" s="18" t="n">
        <v>0.55</v>
      </c>
      <c r="AJ81" s="6" t="inlineStr">
        <is>
          <t>ok</t>
        </is>
      </c>
      <c r="AK81" s="12" t="n">
        <v>0</v>
      </c>
      <c r="AL81" s="15" t="n"/>
      <c r="AM81" s="17" t="n">
        <v>961.1799999999999</v>
      </c>
      <c r="AN81" s="19" t="n">
        <v>-0.0059</v>
      </c>
      <c r="AO81" s="17" t="n">
        <v>100191.79</v>
      </c>
      <c r="AP81" s="17" t="n">
        <v>100191.79</v>
      </c>
      <c r="AQ81" s="19" t="n">
        <v>0.0833</v>
      </c>
      <c r="AR81" s="16" t="n"/>
      <c r="AS81" s="17" t="n"/>
      <c r="AT81" s="19" t="n"/>
      <c r="AU81" s="6" t="inlineStr">
        <is>
          <t>paper</t>
        </is>
      </c>
      <c r="AV81" s="6" t="inlineStr">
        <is>
          <t>40624c33-d43b-482d-b12f-30fb41c490bd</t>
        </is>
      </c>
      <c r="AW81" s="6" t="inlineStr">
        <is>
          <t>tdagent-buy-MCK-1793280648174</t>
        </is>
      </c>
      <c r="AX81" s="13" t="n">
        <v>46324.56305555555</v>
      </c>
      <c r="AY81" s="13" t="n">
        <v>46324.56538194444</v>
      </c>
      <c r="AZ81" s="13" t="n">
        <v>46324.56267361111</v>
      </c>
      <c r="BA81" s="6" t="n"/>
    </row>
    <row r="82">
      <c r="A82" s="12" t="n">
        <v>81</v>
      </c>
      <c r="B82" s="13" t="n">
        <v>46324.60655092593</v>
      </c>
      <c r="C82" s="13" t="n">
        <v>46324.39821759259</v>
      </c>
      <c r="D82" s="13" t="n">
        <v>46324.56488425926</v>
      </c>
      <c r="E82" s="14" t="inlineStr">
        <is>
          <t>BUY</t>
        </is>
      </c>
      <c r="F82" s="6" t="inlineStr">
        <is>
          <t>ISRG</t>
        </is>
      </c>
      <c r="G82" s="15" t="inlineStr">
        <is>
          <t>Intuitive Surgical, Inc. Common Stock</t>
        </is>
      </c>
      <c r="H82" s="6" t="inlineStr">
        <is>
          <t>NASDAQ</t>
        </is>
      </c>
      <c r="I82" s="6" t="inlineStr">
        <is>
          <t>filled</t>
        </is>
      </c>
      <c r="J82" s="16" t="n">
        <v>18.645716072</v>
      </c>
      <c r="K82" s="17" t="n">
        <v>447.607374</v>
      </c>
      <c r="L82" s="17">
        <f>IF(AND(ISNUMBER(J82),ISNUMBER(K82)),J82*K82,"")</f>
        <v/>
      </c>
      <c r="M82" s="17" t="n">
        <v>8345.969999999999</v>
      </c>
      <c r="N82" s="16" t="n"/>
      <c r="O82" s="6" t="inlineStr">
        <is>
          <t>4+/5 green</t>
        </is>
      </c>
      <c r="P82" s="15" t="inlineStr">
        <is>
          <t>5 of 5 green, time machine green, rank #9, 8.33% of the $100,191.79 free cash split 12 ways</t>
        </is>
      </c>
      <c r="Q82" s="12" t="n">
        <v>5</v>
      </c>
      <c r="R82" s="6" t="inlineStr">
        <is>
          <t>ok</t>
        </is>
      </c>
      <c r="S82" s="18" t="n">
        <v>0.552</v>
      </c>
      <c r="T82" s="12" t="n">
        <v>29</v>
      </c>
      <c r="U82" s="19" t="n">
        <v>0.0068</v>
      </c>
      <c r="V82" s="19" t="n">
        <v>-0.1395</v>
      </c>
      <c r="W82" s="12" t="n">
        <v>9</v>
      </c>
      <c r="X82" s="6" t="inlineStr">
        <is>
          <t>ok</t>
        </is>
      </c>
      <c r="Y82" s="19" t="n">
        <v>0</v>
      </c>
      <c r="Z82" s="6" t="inlineStr">
        <is>
          <t>ok</t>
        </is>
      </c>
      <c r="AA82" s="12" t="n">
        <v>100</v>
      </c>
      <c r="AB82" s="15" t="n"/>
      <c r="AC82" s="6" t="inlineStr">
        <is>
          <t>ok</t>
        </is>
      </c>
      <c r="AD82" s="6" t="inlineStr">
        <is>
          <t>up</t>
        </is>
      </c>
      <c r="AE82" s="17" t="n">
        <v>451.3904</v>
      </c>
      <c r="AF82" s="17" t="n">
        <v>433.3894</v>
      </c>
      <c r="AG82" s="17" t="n">
        <v>469.3914</v>
      </c>
      <c r="AH82" s="20" t="n">
        <v>46331</v>
      </c>
      <c r="AI82" s="18" t="n">
        <v>0.5600000000000001</v>
      </c>
      <c r="AJ82" s="6" t="inlineStr">
        <is>
          <t>ok</t>
        </is>
      </c>
      <c r="AK82" s="12" t="n">
        <v>4</v>
      </c>
      <c r="AL82" s="15" t="inlineStr">
        <is>
          <t>Evercore ISI Adjusts Intuitive Surgical Price Target to $375 From $385</t>
        </is>
      </c>
      <c r="AM82" s="17" t="n">
        <v>444.19</v>
      </c>
      <c r="AN82" s="19" t="n">
        <v>-0.0039</v>
      </c>
      <c r="AO82" s="17" t="n">
        <v>100191.79</v>
      </c>
      <c r="AP82" s="17" t="n">
        <v>100191.79</v>
      </c>
      <c r="AQ82" s="19" t="n">
        <v>0.0833</v>
      </c>
      <c r="AR82" s="16" t="n"/>
      <c r="AS82" s="17" t="n"/>
      <c r="AT82" s="19" t="n"/>
      <c r="AU82" s="6" t="inlineStr">
        <is>
          <t>paper</t>
        </is>
      </c>
      <c r="AV82" s="6" t="inlineStr">
        <is>
          <t>d6ce49ed-c1b3-489d-93c3-851dba2e9981</t>
        </is>
      </c>
      <c r="AW82" s="6" t="inlineStr">
        <is>
          <t>tdagent-buy-ISRG-1793280648289</t>
        </is>
      </c>
      <c r="AX82" s="13" t="n">
        <v>46324.56305555555</v>
      </c>
      <c r="AY82" s="13" t="n">
        <v>46324.56488425926</v>
      </c>
      <c r="AZ82" s="13" t="n">
        <v>46324.56267361111</v>
      </c>
      <c r="BA82" s="6" t="n"/>
    </row>
    <row r="83">
      <c r="A83" s="12" t="n">
        <v>82</v>
      </c>
      <c r="B83" s="13" t="n">
        <v>46324.60613425926</v>
      </c>
      <c r="C83" s="13" t="n">
        <v>46324.39780092592</v>
      </c>
      <c r="D83" s="13" t="n">
        <v>46324.56446759259</v>
      </c>
      <c r="E83" s="14" t="inlineStr">
        <is>
          <t>BUY</t>
        </is>
      </c>
      <c r="F83" s="6" t="inlineStr">
        <is>
          <t>ADP</t>
        </is>
      </c>
      <c r="G83" s="15" t="inlineStr">
        <is>
          <t>Automatic Data Processing, Inc. Common Stock</t>
        </is>
      </c>
      <c r="H83" s="6" t="inlineStr">
        <is>
          <t>NASDAQ</t>
        </is>
      </c>
      <c r="I83" s="6" t="inlineStr">
        <is>
          <t>filled</t>
        </is>
      </c>
      <c r="J83" s="16" t="n">
        <v>28.879753624</v>
      </c>
      <c r="K83" s="17" t="n">
        <v>288.99</v>
      </c>
      <c r="L83" s="17">
        <f>IF(AND(ISNUMBER(J83),ISNUMBER(K83)),J83*K83,"")</f>
        <v/>
      </c>
      <c r="M83" s="17" t="n">
        <v>8345.969999999999</v>
      </c>
      <c r="N83" s="16" t="n"/>
      <c r="O83" s="6" t="inlineStr">
        <is>
          <t>4+/5 green</t>
        </is>
      </c>
      <c r="P83" s="15" t="inlineStr">
        <is>
          <t>4 of 5 green, time machine green, rank #10, 8.33% of the $100,191.79 free cash split 12 ways</t>
        </is>
      </c>
      <c r="Q83" s="12" t="n">
        <v>4</v>
      </c>
      <c r="R83" s="6" t="inlineStr">
        <is>
          <t>ok</t>
        </is>
      </c>
      <c r="S83" s="18" t="n">
        <v>0.648</v>
      </c>
      <c r="T83" s="12" t="n">
        <v>54</v>
      </c>
      <c r="U83" s="19" t="n">
        <v>0.0132</v>
      </c>
      <c r="V83" s="19" t="n">
        <v>-0.1395</v>
      </c>
      <c r="W83" s="12" t="n">
        <v>10</v>
      </c>
      <c r="X83" s="6" t="inlineStr">
        <is>
          <t>ok</t>
        </is>
      </c>
      <c r="Y83" s="19" t="n">
        <v>0.0064</v>
      </c>
      <c r="Z83" s="6" t="inlineStr">
        <is>
          <t>ok</t>
        </is>
      </c>
      <c r="AA83" s="12" t="n">
        <v>100</v>
      </c>
      <c r="AB83" s="15" t="n"/>
      <c r="AC83" s="6" t="inlineStr">
        <is>
          <t>ok</t>
        </is>
      </c>
      <c r="AD83" s="6" t="inlineStr">
        <is>
          <t>up</t>
        </is>
      </c>
      <c r="AE83" s="17" t="n">
        <v>289.3086</v>
      </c>
      <c r="AF83" s="17" t="n">
        <v>279.4621</v>
      </c>
      <c r="AG83" s="17" t="n">
        <v>299.1552</v>
      </c>
      <c r="AH83" s="20" t="n">
        <v>46331</v>
      </c>
      <c r="AI83" s="18" t="n">
        <v>0.5600000000000001</v>
      </c>
      <c r="AJ83" s="6" t="inlineStr">
        <is>
          <t>watch</t>
        </is>
      </c>
      <c r="AK83" s="12" t="n">
        <v>10</v>
      </c>
      <c r="AL83" s="15" t="inlineStr">
        <is>
          <t>Automatic Data Processing Q1 2027 Earnings Call Transcript</t>
        </is>
      </c>
      <c r="AM83" s="17" t="n">
        <v>287.21</v>
      </c>
      <c r="AN83" s="19" t="n">
        <v>-0.0258</v>
      </c>
      <c r="AO83" s="17" t="n">
        <v>100191.79</v>
      </c>
      <c r="AP83" s="17" t="n">
        <v>100191.79</v>
      </c>
      <c r="AQ83" s="19" t="n">
        <v>0.0833</v>
      </c>
      <c r="AR83" s="16" t="n"/>
      <c r="AS83" s="17" t="n"/>
      <c r="AT83" s="19" t="n"/>
      <c r="AU83" s="6" t="inlineStr">
        <is>
          <t>paper</t>
        </is>
      </c>
      <c r="AV83" s="6" t="inlineStr">
        <is>
          <t>8a1d5db1-bd96-4ec4-8cf7-90f3d674ae95</t>
        </is>
      </c>
      <c r="AW83" s="6" t="inlineStr">
        <is>
          <t>tdagent-buy-ADP-1793280648342</t>
        </is>
      </c>
      <c r="AX83" s="13" t="n">
        <v>46324.56305555555</v>
      </c>
      <c r="AY83" s="13" t="n">
        <v>46324.56446759259</v>
      </c>
      <c r="AZ83" s="13" t="n">
        <v>46324.56267361111</v>
      </c>
      <c r="BA83" s="6" t="n"/>
    </row>
    <row r="84">
      <c r="A84" s="12" t="n">
        <v>83</v>
      </c>
      <c r="B84" s="13" t="n">
        <v>46324.60626157407</v>
      </c>
      <c r="C84" s="13" t="n">
        <v>46324.39792824074</v>
      </c>
      <c r="D84" s="13" t="n">
        <v>46324.56459490741</v>
      </c>
      <c r="E84" s="14" t="inlineStr">
        <is>
          <t>BUY</t>
        </is>
      </c>
      <c r="F84" s="6" t="inlineStr">
        <is>
          <t>IQV</t>
        </is>
      </c>
      <c r="G84" s="15" t="inlineStr">
        <is>
          <t>IQVIA Holdings Inc.</t>
        </is>
      </c>
      <c r="H84" s="6" t="inlineStr">
        <is>
          <t>NYSE</t>
        </is>
      </c>
      <c r="I84" s="6" t="inlineStr">
        <is>
          <t>filled</t>
        </is>
      </c>
      <c r="J84" s="16" t="n">
        <v>30.075531531</v>
      </c>
      <c r="K84" s="17" t="n">
        <v>277.5</v>
      </c>
      <c r="L84" s="17">
        <f>IF(AND(ISNUMBER(J84),ISNUMBER(K84)),J84*K84,"")</f>
        <v/>
      </c>
      <c r="M84" s="17" t="n">
        <v>8345.969999999999</v>
      </c>
      <c r="N84" s="16" t="n"/>
      <c r="O84" s="6" t="inlineStr">
        <is>
          <t>4+/5 green</t>
        </is>
      </c>
      <c r="P84" s="15" t="inlineStr">
        <is>
          <t>4 of 5 green, time machine green, rank #11, 8.33% of the $100,191.79 free cash split 12 ways</t>
        </is>
      </c>
      <c r="Q84" s="12" t="n">
        <v>4</v>
      </c>
      <c r="R84" s="6" t="inlineStr">
        <is>
          <t>ok</t>
        </is>
      </c>
      <c r="S84" s="18" t="n">
        <v>0.608</v>
      </c>
      <c r="T84" s="12" t="n">
        <v>74</v>
      </c>
      <c r="U84" s="19" t="n">
        <v>0.0149</v>
      </c>
      <c r="V84" s="19" t="n">
        <v>-0.1395</v>
      </c>
      <c r="W84" s="12" t="n">
        <v>11</v>
      </c>
      <c r="X84" s="6" t="inlineStr">
        <is>
          <t>ok</t>
        </is>
      </c>
      <c r="Y84" s="19" t="n">
        <v>0.0008</v>
      </c>
      <c r="Z84" s="6" t="inlineStr">
        <is>
          <t>ok</t>
        </is>
      </c>
      <c r="AA84" s="12" t="n">
        <v>100</v>
      </c>
      <c r="AB84" s="15" t="n"/>
      <c r="AC84" s="6" t="inlineStr">
        <is>
          <t>ok</t>
        </is>
      </c>
      <c r="AD84" s="6" t="inlineStr">
        <is>
          <t>up</t>
        </is>
      </c>
      <c r="AE84" s="17" t="n">
        <v>283.0364</v>
      </c>
      <c r="AF84" s="17" t="n">
        <v>272.7205</v>
      </c>
      <c r="AG84" s="17" t="n">
        <v>293.3523</v>
      </c>
      <c r="AH84" s="20" t="n">
        <v>46331</v>
      </c>
      <c r="AI84" s="18" t="n">
        <v>0.53</v>
      </c>
      <c r="AJ84" s="6" t="inlineStr">
        <is>
          <t>watch</t>
        </is>
      </c>
      <c r="AK84" s="12" t="n">
        <v>6</v>
      </c>
      <c r="AL84" s="15" t="inlineStr">
        <is>
          <t>JP Morgan Maintains Overweight on IQVIA Holdings, Raises Price Target to $325</t>
        </is>
      </c>
      <c r="AM84" s="17" t="n">
        <v>278.7</v>
      </c>
      <c r="AN84" s="19" t="n">
        <v>0.0275</v>
      </c>
      <c r="AO84" s="17" t="n">
        <v>100191.79</v>
      </c>
      <c r="AP84" s="17" t="n">
        <v>100191.79</v>
      </c>
      <c r="AQ84" s="19" t="n">
        <v>0.0833</v>
      </c>
      <c r="AR84" s="16" t="n"/>
      <c r="AS84" s="17" t="n"/>
      <c r="AT84" s="19" t="n"/>
      <c r="AU84" s="6" t="inlineStr">
        <is>
          <t>paper</t>
        </is>
      </c>
      <c r="AV84" s="6" t="inlineStr">
        <is>
          <t>f2ead90d-b916-49fe-9325-a63c56fae54a</t>
        </is>
      </c>
      <c r="AW84" s="6" t="inlineStr">
        <is>
          <t>tdagent-buy-IQV-1793280648394</t>
        </is>
      </c>
      <c r="AX84" s="13" t="n">
        <v>46324.56305555555</v>
      </c>
      <c r="AY84" s="13" t="n">
        <v>46324.56459490741</v>
      </c>
      <c r="AZ84" s="13" t="n">
        <v>46324.56267361111</v>
      </c>
      <c r="BA84" s="6" t="n"/>
    </row>
    <row r="85">
      <c r="A85" s="12" t="n">
        <v>84</v>
      </c>
      <c r="B85" s="13" t="n">
        <v>46324.60625</v>
      </c>
      <c r="C85" s="13" t="n">
        <v>46324.39791666667</v>
      </c>
      <c r="D85" s="13" t="n">
        <v>46324.56458333333</v>
      </c>
      <c r="E85" s="14" t="inlineStr">
        <is>
          <t>BUY</t>
        </is>
      </c>
      <c r="F85" s="6" t="inlineStr">
        <is>
          <t>LLY</t>
        </is>
      </c>
      <c r="G85" s="15" t="inlineStr">
        <is>
          <t>Eli Lilly &amp; Co.</t>
        </is>
      </c>
      <c r="H85" s="6" t="inlineStr">
        <is>
          <t>NYSE</t>
        </is>
      </c>
      <c r="I85" s="6" t="inlineStr">
        <is>
          <t>filled</t>
        </is>
      </c>
      <c r="J85" s="16" t="n">
        <v>6.035195373</v>
      </c>
      <c r="K85" s="17" t="n">
        <v>1382.881495</v>
      </c>
      <c r="L85" s="17">
        <f>IF(AND(ISNUMBER(J85),ISNUMBER(K85)),J85*K85,"")</f>
        <v/>
      </c>
      <c r="M85" s="17" t="n">
        <v>8345.969999999999</v>
      </c>
      <c r="N85" s="16" t="n"/>
      <c r="O85" s="6" t="inlineStr">
        <is>
          <t>4+/5 green</t>
        </is>
      </c>
      <c r="P85" s="15" t="inlineStr">
        <is>
          <t>4 of 5 green, time machine green, rank #12, 8.33% of the $100,191.79 free cash split 12 ways</t>
        </is>
      </c>
      <c r="Q85" s="12" t="n">
        <v>4</v>
      </c>
      <c r="R85" s="6" t="inlineStr">
        <is>
          <t>ok</t>
        </is>
      </c>
      <c r="S85" s="18" t="n">
        <v>0.574</v>
      </c>
      <c r="T85" s="12" t="n">
        <v>68</v>
      </c>
      <c r="U85" s="19" t="n">
        <v>0.0075</v>
      </c>
      <c r="V85" s="19" t="n">
        <v>-0.1395</v>
      </c>
      <c r="W85" s="12" t="n">
        <v>12</v>
      </c>
      <c r="X85" s="6" t="inlineStr">
        <is>
          <t>ok</t>
        </is>
      </c>
      <c r="Y85" s="19" t="n">
        <v>0</v>
      </c>
      <c r="Z85" s="6" t="inlineStr">
        <is>
          <t>ok</t>
        </is>
      </c>
      <c r="AA85" s="12" t="n">
        <v>100</v>
      </c>
      <c r="AB85" s="15" t="n"/>
      <c r="AC85" s="6" t="inlineStr">
        <is>
          <t>ok</t>
        </is>
      </c>
      <c r="AD85" s="6" t="inlineStr">
        <is>
          <t>up</t>
        </is>
      </c>
      <c r="AE85" s="17" t="n">
        <v>1311.7784</v>
      </c>
      <c r="AF85" s="17" t="n">
        <v>1259.0074</v>
      </c>
      <c r="AG85" s="17" t="n">
        <v>1364.5494</v>
      </c>
      <c r="AH85" s="20" t="n">
        <v>46331</v>
      </c>
      <c r="AI85" s="18" t="n">
        <v>0.55</v>
      </c>
      <c r="AJ85" s="6" t="inlineStr">
        <is>
          <t>watch</t>
        </is>
      </c>
      <c r="AK85" s="12" t="n">
        <v>10</v>
      </c>
      <c r="AL85" s="15" t="inlineStr">
        <is>
          <t>Eli Lilly Lowers FY2026 Adj EPS Guidance from $35.50-$36.50 to $35.00-$36.00 vs $34.04 Est; Raises FY2026 Sales Guidance from $85.000B-$87.000B to $91.000B-$92.000B vs $88.848B Est</t>
        </is>
      </c>
      <c r="AM85" s="17" t="n">
        <v>1290.67</v>
      </c>
      <c r="AN85" s="19" t="n">
        <v>0.0071</v>
      </c>
      <c r="AO85" s="17" t="n">
        <v>100191.79</v>
      </c>
      <c r="AP85" s="17" t="n">
        <v>100191.79</v>
      </c>
      <c r="AQ85" s="19" t="n">
        <v>0.0833</v>
      </c>
      <c r="AR85" s="16" t="n"/>
      <c r="AS85" s="17" t="n"/>
      <c r="AT85" s="19" t="n"/>
      <c r="AU85" s="6" t="inlineStr">
        <is>
          <t>paper</t>
        </is>
      </c>
      <c r="AV85" s="6" t="inlineStr">
        <is>
          <t>c6b04753-7485-469f-8d38-d301e8e7b741</t>
        </is>
      </c>
      <c r="AW85" s="6" t="inlineStr">
        <is>
          <t>tdagent-buy-LLY-1793280648448</t>
        </is>
      </c>
      <c r="AX85" s="13" t="n">
        <v>46324.56305555555</v>
      </c>
      <c r="AY85" s="13" t="n">
        <v>46324.56458333333</v>
      </c>
      <c r="AZ85" s="13" t="n">
        <v>46324.56267361111</v>
      </c>
      <c r="BA85" s="6" t="n"/>
    </row>
    <row r="86">
      <c r="A86" s="12" t="n">
        <v>85</v>
      </c>
      <c r="B86" s="13" t="n">
        <v>46324.60640046297</v>
      </c>
      <c r="C86" s="13" t="n">
        <v>46324.39806712963</v>
      </c>
      <c r="D86" s="13" t="n">
        <v>46324.56473379629</v>
      </c>
      <c r="E86" s="14" t="inlineStr">
        <is>
          <t>BUY</t>
        </is>
      </c>
      <c r="F86" s="6" t="inlineStr">
        <is>
          <t>MPC</t>
        </is>
      </c>
      <c r="G86" s="15" t="inlineStr">
        <is>
          <t>MARATHON PETROLEUM CORPORATION</t>
        </is>
      </c>
      <c r="H86" s="6" t="inlineStr">
        <is>
          <t>NYSE</t>
        </is>
      </c>
      <c r="I86" s="6" t="inlineStr">
        <is>
          <t>filled</t>
        </is>
      </c>
      <c r="J86" s="16" t="n">
        <v>18.846467973</v>
      </c>
      <c r="K86" s="17" t="n">
        <v>442.839476</v>
      </c>
      <c r="L86" s="17">
        <f>IF(AND(ISNUMBER(J86),ISNUMBER(K86)),J86*K86,"")</f>
        <v/>
      </c>
      <c r="M86" s="17" t="n">
        <v>8345.969999999999</v>
      </c>
      <c r="N86" s="16" t="n"/>
      <c r="O86" s="6" t="inlineStr">
        <is>
          <t>4+/5 green</t>
        </is>
      </c>
      <c r="P86" s="15" t="inlineStr">
        <is>
          <t>5 of 5 green, time machine green, rank #13, 8.33% of the $100,191.79 free cash split 12 ways</t>
        </is>
      </c>
      <c r="Q86" s="12" t="n">
        <v>5</v>
      </c>
      <c r="R86" s="6" t="inlineStr">
        <is>
          <t>ok</t>
        </is>
      </c>
      <c r="S86" s="18" t="n">
        <v>0.6820000000000001</v>
      </c>
      <c r="T86" s="12" t="n">
        <v>85</v>
      </c>
      <c r="U86" s="19" t="n">
        <v>0.0254</v>
      </c>
      <c r="V86" s="19" t="n">
        <v>-0.1395</v>
      </c>
      <c r="W86" s="12" t="n">
        <v>13</v>
      </c>
      <c r="X86" s="6" t="inlineStr">
        <is>
          <t>ok</t>
        </is>
      </c>
      <c r="Y86" s="19" t="n">
        <v>0</v>
      </c>
      <c r="Z86" s="6" t="inlineStr">
        <is>
          <t>ok</t>
        </is>
      </c>
      <c r="AA86" s="12" t="n">
        <v>80</v>
      </c>
      <c r="AB86" s="15" t="inlineStr">
        <is>
          <t>One day (-7.4%) did 81% of the 10-day move. The trend rests on a single jump.</t>
        </is>
      </c>
      <c r="AC86" s="6" t="inlineStr">
        <is>
          <t>ok</t>
        </is>
      </c>
      <c r="AD86" s="6" t="inlineStr">
        <is>
          <t>up</t>
        </is>
      </c>
      <c r="AE86" s="17" t="n">
        <v>450.3744</v>
      </c>
      <c r="AF86" s="17" t="n">
        <v>425.9885</v>
      </c>
      <c r="AG86" s="17" t="n">
        <v>474.7603</v>
      </c>
      <c r="AH86" s="20" t="n">
        <v>46331</v>
      </c>
      <c r="AI86" s="18" t="n">
        <v>0.54</v>
      </c>
      <c r="AJ86" s="6" t="inlineStr">
        <is>
          <t>ok</t>
        </is>
      </c>
      <c r="AK86" s="12" t="n">
        <v>4</v>
      </c>
      <c r="AL86" s="15" t="inlineStr">
        <is>
          <t>Reported Earlier, Marathon Petroleum Raises Quarterly Dividend 10% To $1.10 Per Share From $1.00, Payable Dec. 10, 2026, To Shareholders Of Record As Of Nov. 18</t>
        </is>
      </c>
      <c r="AM86" s="17" t="n">
        <v>440.62</v>
      </c>
      <c r="AN86" s="19" t="n">
        <v>0.0108</v>
      </c>
      <c r="AO86" s="17" t="n">
        <v>100191.79</v>
      </c>
      <c r="AP86" s="17" t="n">
        <v>100191.79</v>
      </c>
      <c r="AQ86" s="19" t="n">
        <v>0.0833</v>
      </c>
      <c r="AR86" s="16" t="n"/>
      <c r="AS86" s="17" t="n"/>
      <c r="AT86" s="19" t="n"/>
      <c r="AU86" s="6" t="inlineStr">
        <is>
          <t>paper</t>
        </is>
      </c>
      <c r="AV86" s="6" t="inlineStr">
        <is>
          <t>290918e4-4d4f-4c2f-af48-d921cb97a8b1</t>
        </is>
      </c>
      <c r="AW86" s="6" t="inlineStr">
        <is>
          <t>tdagent-buy-MPC-1793280648508</t>
        </is>
      </c>
      <c r="AX86" s="13" t="n">
        <v>46324.56305555555</v>
      </c>
      <c r="AY86" s="13" t="n">
        <v>46324.56473379629</v>
      </c>
      <c r="AZ86" s="13" t="n">
        <v>46324.56267361111</v>
      </c>
      <c r="BA86" s="6" t="n"/>
    </row>
    <row r="87">
      <c r="A87" s="12" t="n">
        <v>86</v>
      </c>
      <c r="B87" s="13" t="n">
        <v>46324.60722222222</v>
      </c>
      <c r="C87" s="13" t="n">
        <v>46324.39888888889</v>
      </c>
      <c r="D87" s="13" t="n">
        <v>46324.56555555556</v>
      </c>
      <c r="E87" s="14" t="inlineStr">
        <is>
          <t>BUY</t>
        </is>
      </c>
      <c r="F87" s="6" t="inlineStr">
        <is>
          <t>MA</t>
        </is>
      </c>
      <c r="G87" s="15" t="inlineStr">
        <is>
          <t>Mastercard Incorporated</t>
        </is>
      </c>
      <c r="H87" s="6" t="inlineStr">
        <is>
          <t>NYSE</t>
        </is>
      </c>
      <c r="I87" s="6" t="inlineStr">
        <is>
          <t>filled</t>
        </is>
      </c>
      <c r="J87" s="16" t="n">
        <v>13.053417297</v>
      </c>
      <c r="K87" s="17" t="n">
        <v>639.369739</v>
      </c>
      <c r="L87" s="17">
        <f>IF(AND(ISNUMBER(J87),ISNUMBER(K87)),J87*K87,"")</f>
        <v/>
      </c>
      <c r="M87" s="17" t="n">
        <v>8345.969999999999</v>
      </c>
      <c r="N87" s="16" t="n"/>
      <c r="O87" s="6" t="inlineStr">
        <is>
          <t>4+/5 green</t>
        </is>
      </c>
      <c r="P87" s="15" t="inlineStr">
        <is>
          <t>4 of 5 green, time machine green, rank #14, 8.33% of the $100,191.79 free cash split 12 ways</t>
        </is>
      </c>
      <c r="Q87" s="12" t="n">
        <v>4</v>
      </c>
      <c r="R87" s="6" t="inlineStr">
        <is>
          <t>ok</t>
        </is>
      </c>
      <c r="S87" s="18" t="n">
        <v>0.553</v>
      </c>
      <c r="T87" s="12" t="n">
        <v>47</v>
      </c>
      <c r="U87" s="19" t="n">
        <v>0.006500000000000001</v>
      </c>
      <c r="V87" s="19" t="n">
        <v>-0.1395</v>
      </c>
      <c r="W87" s="12" t="n">
        <v>14</v>
      </c>
      <c r="X87" s="6" t="inlineStr">
        <is>
          <t>ok</t>
        </is>
      </c>
      <c r="Y87" s="19" t="n">
        <v>0</v>
      </c>
      <c r="Z87" s="6" t="inlineStr">
        <is>
          <t>ok</t>
        </is>
      </c>
      <c r="AA87" s="12" t="n">
        <v>100</v>
      </c>
      <c r="AB87" s="15" t="n"/>
      <c r="AC87" s="6" t="inlineStr">
        <is>
          <t>ok</t>
        </is>
      </c>
      <c r="AD87" s="6" t="inlineStr">
        <is>
          <t>up</t>
        </is>
      </c>
      <c r="AE87" s="17" t="n">
        <v>617.0697</v>
      </c>
      <c r="AF87" s="17" t="n">
        <v>601.3704</v>
      </c>
      <c r="AG87" s="17" t="n">
        <v>632.769</v>
      </c>
      <c r="AH87" s="20" t="n">
        <v>46331</v>
      </c>
      <c r="AI87" s="18" t="n">
        <v>0.5600000000000001</v>
      </c>
      <c r="AJ87" s="6" t="inlineStr">
        <is>
          <t>watch</t>
        </is>
      </c>
      <c r="AK87" s="12" t="n">
        <v>10</v>
      </c>
      <c r="AL87" s="15" t="inlineStr">
        <is>
          <t>Msatercard CEO Says While There Continues To Be Economic And Geopolitical Uncertainty, Consumers Continue To Spend</t>
        </is>
      </c>
      <c r="AM87" s="17" t="n">
        <v>610.79</v>
      </c>
      <c r="AN87" s="19" t="n">
        <v>0.0015</v>
      </c>
      <c r="AO87" s="17" t="n">
        <v>100191.79</v>
      </c>
      <c r="AP87" s="17" t="n">
        <v>100191.79</v>
      </c>
      <c r="AQ87" s="19" t="n">
        <v>0.0833</v>
      </c>
      <c r="AR87" s="16" t="n"/>
      <c r="AS87" s="17" t="n"/>
      <c r="AT87" s="19" t="n"/>
      <c r="AU87" s="6" t="inlineStr">
        <is>
          <t>paper</t>
        </is>
      </c>
      <c r="AV87" s="6" t="inlineStr">
        <is>
          <t>456ab71a-6843-4001-b9a0-e1c7c379c39f</t>
        </is>
      </c>
      <c r="AW87" s="6" t="inlineStr">
        <is>
          <t>tdagent-buy-MA-1793280648546</t>
        </is>
      </c>
      <c r="AX87" s="13" t="n">
        <v>46324.56305555555</v>
      </c>
      <c r="AY87" s="13" t="n">
        <v>46324.56555555556</v>
      </c>
      <c r="AZ87" s="13" t="n">
        <v>46324.56267361111</v>
      </c>
      <c r="BA87" s="6" t="n"/>
    </row>
    <row r="88">
      <c r="A88" s="12" t="n">
        <v>87</v>
      </c>
      <c r="B88" s="13" t="n">
        <v>46324.6747337963</v>
      </c>
      <c r="C88" s="13" t="n">
        <v>46324.46640046296</v>
      </c>
      <c r="D88" s="13" t="n">
        <v>46324.63306712963</v>
      </c>
      <c r="E88" s="21" t="inlineStr">
        <is>
          <t>SELL</t>
        </is>
      </c>
      <c r="F88" s="6" t="inlineStr">
        <is>
          <t>MPC</t>
        </is>
      </c>
      <c r="G88" s="15" t="inlineStr">
        <is>
          <t>MPC</t>
        </is>
      </c>
      <c r="H88" s="6" t="inlineStr">
        <is>
          <t>NYSE</t>
        </is>
      </c>
      <c r="I88" s="6" t="inlineStr">
        <is>
          <t>filled</t>
        </is>
      </c>
      <c r="J88" s="16" t="n">
        <v>18.846467973</v>
      </c>
      <c r="K88" s="17" t="n">
        <v>421.33</v>
      </c>
      <c r="L88" s="17">
        <f>IF(AND(ISNUMBER(J88),ISNUMBER(K88)),J88*K88,"")</f>
        <v/>
      </c>
      <c r="M88" s="17" t="n"/>
      <c r="N88" s="16" t="n">
        <v>18.846467973</v>
      </c>
      <c r="O88" s="6" t="inlineStr">
        <is>
          <t>bad day</t>
        </is>
      </c>
      <c r="P88" s="15" t="inlineStr">
        <is>
          <t>Bad day: down 4.3% today and only 4 of 5 green</t>
        </is>
      </c>
      <c r="Q88" s="12" t="n">
        <v>4</v>
      </c>
      <c r="R88" s="6" t="inlineStr">
        <is>
          <t>ok</t>
        </is>
      </c>
      <c r="S88" s="18" t="n">
        <v>0.6820000000000001</v>
      </c>
      <c r="T88" s="12" t="n">
        <v>85</v>
      </c>
      <c r="U88" s="19" t="n">
        <v>0.0254</v>
      </c>
      <c r="V88" s="19" t="n">
        <v>-0.1395</v>
      </c>
      <c r="W88" s="12" t="n"/>
      <c r="X88" s="6" t="inlineStr">
        <is>
          <t>watch</t>
        </is>
      </c>
      <c r="Y88" s="19" t="n">
        <v>0.0036</v>
      </c>
      <c r="Z88" s="6" t="inlineStr">
        <is>
          <t>ok</t>
        </is>
      </c>
      <c r="AA88" s="12" t="n">
        <v>100</v>
      </c>
      <c r="AB88" s="15" t="n"/>
      <c r="AC88" s="6" t="inlineStr">
        <is>
          <t>ok</t>
        </is>
      </c>
      <c r="AD88" s="6" t="inlineStr">
        <is>
          <t>up</t>
        </is>
      </c>
      <c r="AE88" s="17" t="n">
        <v>431.5162</v>
      </c>
      <c r="AF88" s="17" t="n">
        <v>408.3508</v>
      </c>
      <c r="AG88" s="17" t="n">
        <v>454.6815</v>
      </c>
      <c r="AH88" s="20" t="n">
        <v>46331</v>
      </c>
      <c r="AI88" s="18" t="n">
        <v>0.53</v>
      </c>
      <c r="AJ88" s="6" t="inlineStr">
        <is>
          <t>ok</t>
        </is>
      </c>
      <c r="AK88" s="12" t="n">
        <v>4</v>
      </c>
      <c r="AL88" s="15" t="inlineStr">
        <is>
          <t>Reported Earlier, Marathon Petroleum Raises Quarterly Dividend 10% To $1.10 Per Share From $1.00, Payable Dec. 10, 2026, To Shareholders Of Record As Of Nov. 18</t>
        </is>
      </c>
      <c r="AM88" s="17" t="n">
        <v>422.25</v>
      </c>
      <c r="AN88" s="19" t="n">
        <v>-0.0417</v>
      </c>
      <c r="AO88" s="17" t="n">
        <v>99315.96000000001</v>
      </c>
      <c r="AP88" s="17" t="n">
        <v>40.27</v>
      </c>
      <c r="AQ88" s="19" t="n">
        <v>0.0833</v>
      </c>
      <c r="AR88" s="16" t="n">
        <v>18.846467973</v>
      </c>
      <c r="AS88" s="17" t="n">
        <v>442.839476</v>
      </c>
      <c r="AT88" s="19" t="n">
        <v>-0.0476</v>
      </c>
      <c r="AU88" s="6" t="inlineStr">
        <is>
          <t>paper</t>
        </is>
      </c>
      <c r="AV88" s="6" t="inlineStr">
        <is>
          <t>ffdb00ef-b2db-4f38-8488-0fe2b35782a8</t>
        </is>
      </c>
      <c r="AW88" s="6" t="inlineStr">
        <is>
          <t>tdagent-sell-MPC-1793286695996</t>
        </is>
      </c>
      <c r="AX88" s="13" t="n">
        <v>46324.63304398148</v>
      </c>
      <c r="AY88" s="13" t="n">
        <v>46324.63306712963</v>
      </c>
      <c r="AZ88" s="13" t="n">
        <v>46324.63278935185</v>
      </c>
      <c r="BA88" s="6" t="n"/>
    </row>
    <row r="89">
      <c r="A89" s="12" t="n">
        <v>88</v>
      </c>
      <c r="B89" s="13" t="n">
        <v>46324.67833333334</v>
      </c>
      <c r="C89" s="13" t="n">
        <v>46324.47</v>
      </c>
      <c r="D89" s="13" t="n">
        <v>46324.63666666667</v>
      </c>
      <c r="E89" s="14" t="inlineStr">
        <is>
          <t>BUY</t>
        </is>
      </c>
      <c r="F89" s="6" t="inlineStr">
        <is>
          <t>VEEV</t>
        </is>
      </c>
      <c r="G89" s="15" t="inlineStr">
        <is>
          <t>Veeva Systems Inc.</t>
        </is>
      </c>
      <c r="H89" s="6" t="inlineStr">
        <is>
          <t>NYSE</t>
        </is>
      </c>
      <c r="I89" s="6" t="inlineStr">
        <is>
          <t>filled</t>
        </is>
      </c>
      <c r="J89" s="16" t="n">
        <v>2.132719514</v>
      </c>
      <c r="K89" s="17" t="n">
        <v>311.71</v>
      </c>
      <c r="L89" s="17">
        <f>IF(AND(ISNUMBER(J89),ISNUMBER(K89)),J89*K89,"")</f>
        <v/>
      </c>
      <c r="M89" s="17" t="n">
        <v>664.8</v>
      </c>
      <c r="N89" s="16" t="n"/>
      <c r="O89" s="6" t="inlineStr">
        <is>
          <t>4+/5 green</t>
        </is>
      </c>
      <c r="P89" s="15" t="inlineStr">
        <is>
          <t>5 of 5 green, time machine green, rank #1, 8.33% of the $7,980.85 free cash split 12 ways</t>
        </is>
      </c>
      <c r="Q89" s="12" t="n">
        <v>5</v>
      </c>
      <c r="R89" s="6" t="inlineStr">
        <is>
          <t>ok</t>
        </is>
      </c>
      <c r="S89" s="18" t="n">
        <v>0.868</v>
      </c>
      <c r="T89" s="12" t="n">
        <v>38</v>
      </c>
      <c r="U89" s="19" t="n">
        <v>0.0567</v>
      </c>
      <c r="V89" s="19" t="n">
        <v>-0.1395</v>
      </c>
      <c r="W89" s="12" t="n">
        <v>1</v>
      </c>
      <c r="X89" s="6" t="inlineStr">
        <is>
          <t>ok</t>
        </is>
      </c>
      <c r="Y89" s="19" t="n">
        <v>0.0016</v>
      </c>
      <c r="Z89" s="6" t="inlineStr">
        <is>
          <t>ok</t>
        </is>
      </c>
      <c r="AA89" s="12" t="n">
        <v>100</v>
      </c>
      <c r="AB89" s="15" t="n"/>
      <c r="AC89" s="6" t="inlineStr">
        <is>
          <t>ok</t>
        </is>
      </c>
      <c r="AD89" s="6" t="inlineStr">
        <is>
          <t>up</t>
        </is>
      </c>
      <c r="AE89" s="17" t="n">
        <v>319.9537</v>
      </c>
      <c r="AF89" s="17" t="n">
        <v>300.332</v>
      </c>
      <c r="AG89" s="17" t="n">
        <v>339.5754</v>
      </c>
      <c r="AH89" s="20" t="n">
        <v>46331</v>
      </c>
      <c r="AI89" s="18" t="n">
        <v>0.55</v>
      </c>
      <c r="AJ89" s="6" t="inlineStr">
        <is>
          <t>ok</t>
        </is>
      </c>
      <c r="AK89" s="12" t="n">
        <v>4</v>
      </c>
      <c r="AL89" s="15" t="inlineStr">
        <is>
          <t>Mizuho Adjusts Price Target on Veeva Systems</t>
        </is>
      </c>
      <c r="AM89" s="17" t="n">
        <v>311.6</v>
      </c>
      <c r="AN89" s="19" t="n">
        <v>-0.0183</v>
      </c>
      <c r="AO89" s="17" t="n">
        <v>99368.08</v>
      </c>
      <c r="AP89" s="17" t="n">
        <v>7980.85</v>
      </c>
      <c r="AQ89" s="19" t="n">
        <v>0.0833</v>
      </c>
      <c r="AR89" s="16" t="n"/>
      <c r="AS89" s="17" t="n"/>
      <c r="AT89" s="19" t="n"/>
      <c r="AU89" s="6" t="inlineStr">
        <is>
          <t>paper</t>
        </is>
      </c>
      <c r="AV89" s="6" t="inlineStr">
        <is>
          <t>432ddb49-7fbc-49b5-9550-5546f03e0680</t>
        </is>
      </c>
      <c r="AW89" s="6" t="inlineStr">
        <is>
          <t>tdagent-buy-VEEV-1793287007828</t>
        </is>
      </c>
      <c r="AX89" s="13" t="n">
        <v>46324.6366550926</v>
      </c>
      <c r="AY89" s="13" t="n">
        <v>46324.63666666667</v>
      </c>
      <c r="AZ89" s="13" t="n">
        <v>46324.63631944444</v>
      </c>
      <c r="BA89" s="6" t="n"/>
    </row>
    <row r="90">
      <c r="A90" s="12" t="n">
        <v>89</v>
      </c>
      <c r="B90" s="13" t="n">
        <v>46324.67834490741</v>
      </c>
      <c r="C90" s="13" t="n">
        <v>46324.47001157407</v>
      </c>
      <c r="D90" s="13" t="n">
        <v>46324.63667824074</v>
      </c>
      <c r="E90" s="14" t="inlineStr">
        <is>
          <t>BUY</t>
        </is>
      </c>
      <c r="F90" s="6" t="inlineStr">
        <is>
          <t>AVTR</t>
        </is>
      </c>
      <c r="G90" s="15" t="inlineStr">
        <is>
          <t>Avantor, Inc.</t>
        </is>
      </c>
      <c r="H90" s="6" t="inlineStr">
        <is>
          <t>NYSE</t>
        </is>
      </c>
      <c r="I90" s="6" t="inlineStr">
        <is>
          <t>filled</t>
        </is>
      </c>
      <c r="J90" s="16" t="n">
        <v>40.314736203</v>
      </c>
      <c r="K90" s="17" t="n">
        <v>16.49</v>
      </c>
      <c r="L90" s="17">
        <f>IF(AND(ISNUMBER(J90),ISNUMBER(K90)),J90*K90,"")</f>
        <v/>
      </c>
      <c r="M90" s="17" t="n">
        <v>664.8</v>
      </c>
      <c r="N90" s="16" t="n"/>
      <c r="O90" s="6" t="inlineStr">
        <is>
          <t>4+/5 green</t>
        </is>
      </c>
      <c r="P90" s="15" t="inlineStr">
        <is>
          <t>5 of 5 green, time machine green, rank #2, 8.33% of the $7,980.85 free cash split 12 ways</t>
        </is>
      </c>
      <c r="Q90" s="12" t="n">
        <v>5</v>
      </c>
      <c r="R90" s="6" t="inlineStr">
        <is>
          <t>ok</t>
        </is>
      </c>
      <c r="S90" s="18" t="n">
        <v>0.823</v>
      </c>
      <c r="T90" s="12" t="n">
        <v>62</v>
      </c>
      <c r="U90" s="19" t="n">
        <v>0.0453</v>
      </c>
      <c r="V90" s="19" t="n">
        <v>-0.1395</v>
      </c>
      <c r="W90" s="12" t="n">
        <v>2</v>
      </c>
      <c r="X90" s="6" t="inlineStr">
        <is>
          <t>ok</t>
        </is>
      </c>
      <c r="Y90" s="19" t="n">
        <v>0.0003</v>
      </c>
      <c r="Z90" s="6" t="inlineStr">
        <is>
          <t>ok</t>
        </is>
      </c>
      <c r="AA90" s="12" t="n">
        <v>100</v>
      </c>
      <c r="AB90" s="15" t="n"/>
      <c r="AC90" s="6" t="inlineStr">
        <is>
          <t>ok</t>
        </is>
      </c>
      <c r="AD90" s="6" t="inlineStr">
        <is>
          <t>up</t>
        </is>
      </c>
      <c r="AE90" s="17" t="n">
        <v>16.739</v>
      </c>
      <c r="AF90" s="17" t="n">
        <v>16.0789</v>
      </c>
      <c r="AG90" s="17" t="n">
        <v>17.3992</v>
      </c>
      <c r="AH90" s="20" t="n">
        <v>46331</v>
      </c>
      <c r="AI90" s="18" t="n">
        <v>0.5600000000000001</v>
      </c>
      <c r="AJ90" s="6" t="inlineStr">
        <is>
          <t>ok</t>
        </is>
      </c>
      <c r="AK90" s="12" t="n">
        <v>5</v>
      </c>
      <c r="AL90" s="15" t="inlineStr">
        <is>
          <t>Barclays Maintains Underweight on Avantor, Raises Price Target to $16</t>
        </is>
      </c>
      <c r="AM90" s="17" t="n">
        <v>16.47</v>
      </c>
      <c r="AN90" s="19" t="n">
        <v>-0.0123</v>
      </c>
      <c r="AO90" s="17" t="n">
        <v>99368.08</v>
      </c>
      <c r="AP90" s="17" t="n">
        <v>7980.85</v>
      </c>
      <c r="AQ90" s="19" t="n">
        <v>0.0833</v>
      </c>
      <c r="AR90" s="16" t="n"/>
      <c r="AS90" s="17" t="n"/>
      <c r="AT90" s="19" t="n"/>
      <c r="AU90" s="6" t="inlineStr">
        <is>
          <t>paper</t>
        </is>
      </c>
      <c r="AV90" s="6" t="inlineStr">
        <is>
          <t>2846835a-3061-47df-84bc-c57549c0d863</t>
        </is>
      </c>
      <c r="AW90" s="6" t="inlineStr">
        <is>
          <t>tdagent-buy-AVTR-1793287008089</t>
        </is>
      </c>
      <c r="AX90" s="13" t="n">
        <v>46324.63666666667</v>
      </c>
      <c r="AY90" s="13" t="n">
        <v>46324.63667824074</v>
      </c>
      <c r="AZ90" s="13" t="n">
        <v>46324.63631944444</v>
      </c>
      <c r="BA90" s="6" t="n"/>
    </row>
    <row r="91">
      <c r="A91" s="12" t="n">
        <v>90</v>
      </c>
      <c r="B91" s="13" t="n">
        <v>46324.67834490741</v>
      </c>
      <c r="C91" s="13" t="n">
        <v>46324.47001157407</v>
      </c>
      <c r="D91" s="13" t="n">
        <v>46324.63667824074</v>
      </c>
      <c r="E91" s="14" t="inlineStr">
        <is>
          <t>BUY</t>
        </is>
      </c>
      <c r="F91" s="6" t="inlineStr">
        <is>
          <t>ABBV</t>
        </is>
      </c>
      <c r="G91" s="15" t="inlineStr">
        <is>
          <t>ABBVIE INC.</t>
        </is>
      </c>
      <c r="H91" s="6" t="inlineStr">
        <is>
          <t>NYSE</t>
        </is>
      </c>
      <c r="I91" s="6" t="inlineStr">
        <is>
          <t>filled</t>
        </is>
      </c>
      <c r="J91" s="16" t="n">
        <v>2.290483737</v>
      </c>
      <c r="K91" s="17" t="n">
        <v>290.24</v>
      </c>
      <c r="L91" s="17">
        <f>IF(AND(ISNUMBER(J91),ISNUMBER(K91)),J91*K91,"")</f>
        <v/>
      </c>
      <c r="M91" s="17" t="n">
        <v>664.8</v>
      </c>
      <c r="N91" s="16" t="n"/>
      <c r="O91" s="6" t="inlineStr">
        <is>
          <t>4+/5 green</t>
        </is>
      </c>
      <c r="P91" s="15" t="inlineStr">
        <is>
          <t>5 of 5 green, time machine green, rank #3, 8.33% of the $7,980.85 free cash split 12 ways</t>
        </is>
      </c>
      <c r="Q91" s="12" t="n">
        <v>5</v>
      </c>
      <c r="R91" s="6" t="inlineStr">
        <is>
          <t>ok</t>
        </is>
      </c>
      <c r="S91" s="18" t="n">
        <v>0.667</v>
      </c>
      <c r="T91" s="12" t="n">
        <v>39</v>
      </c>
      <c r="U91" s="19" t="n">
        <v>0.0177</v>
      </c>
      <c r="V91" s="19" t="n">
        <v>-0.1395</v>
      </c>
      <c r="W91" s="12" t="n">
        <v>3</v>
      </c>
      <c r="X91" s="6" t="inlineStr">
        <is>
          <t>ok</t>
        </is>
      </c>
      <c r="Y91" s="19" t="n">
        <v>0.0001</v>
      </c>
      <c r="Z91" s="6" t="inlineStr">
        <is>
          <t>ok</t>
        </is>
      </c>
      <c r="AA91" s="12" t="n">
        <v>100</v>
      </c>
      <c r="AB91" s="15" t="n"/>
      <c r="AC91" s="6" t="inlineStr">
        <is>
          <t>ok</t>
        </is>
      </c>
      <c r="AD91" s="6" t="inlineStr">
        <is>
          <t>up</t>
        </is>
      </c>
      <c r="AE91" s="17" t="n">
        <v>293.3377</v>
      </c>
      <c r="AF91" s="17" t="n">
        <v>285.3184</v>
      </c>
      <c r="AG91" s="17" t="n">
        <v>301.3571</v>
      </c>
      <c r="AH91" s="20" t="n">
        <v>46331</v>
      </c>
      <c r="AI91" s="18" t="n">
        <v>0.57</v>
      </c>
      <c r="AJ91" s="6" t="inlineStr">
        <is>
          <t>ok</t>
        </is>
      </c>
      <c r="AK91" s="12" t="n">
        <v>4</v>
      </c>
      <c r="AL91" s="15" t="inlineStr">
        <is>
          <t>Steve Jobs' Son Says GLP-1 Weight Loss Drugs Could Be Among Most Important Medicines Ever, With Potential Impact on Cancer</t>
        </is>
      </c>
      <c r="AM91" s="17" t="n">
        <v>290.1</v>
      </c>
      <c r="AN91" s="19" t="n">
        <v>0.0135</v>
      </c>
      <c r="AO91" s="17" t="n">
        <v>99368.08</v>
      </c>
      <c r="AP91" s="17" t="n">
        <v>7980.85</v>
      </c>
      <c r="AQ91" s="19" t="n">
        <v>0.0833</v>
      </c>
      <c r="AR91" s="16" t="n"/>
      <c r="AS91" s="17" t="n"/>
      <c r="AT91" s="19" t="n"/>
      <c r="AU91" s="6" t="inlineStr">
        <is>
          <t>paper</t>
        </is>
      </c>
      <c r="AV91" s="6" t="inlineStr">
        <is>
          <t>6e3e1966-fed1-4e2c-8f60-4d6a94ba2b8f</t>
        </is>
      </c>
      <c r="AW91" s="6" t="inlineStr">
        <is>
          <t>tdagent-buy-ABBV-1793287008370</t>
        </is>
      </c>
      <c r="AX91" s="13" t="n">
        <v>46324.63666666667</v>
      </c>
      <c r="AY91" s="13" t="n">
        <v>46324.63667824074</v>
      </c>
      <c r="AZ91" s="13" t="n">
        <v>46324.63631944444</v>
      </c>
      <c r="BA91" s="6" t="n"/>
    </row>
    <row r="92">
      <c r="A92" s="12" t="n">
        <v>91</v>
      </c>
      <c r="B92" s="13" t="n">
        <v>46324.67834490741</v>
      </c>
      <c r="C92" s="13" t="n">
        <v>46324.47001157407</v>
      </c>
      <c r="D92" s="13" t="n">
        <v>46324.63667824074</v>
      </c>
      <c r="E92" s="14" t="inlineStr">
        <is>
          <t>BUY</t>
        </is>
      </c>
      <c r="F92" s="6" t="inlineStr">
        <is>
          <t>XOM</t>
        </is>
      </c>
      <c r="G92" s="15" t="inlineStr">
        <is>
          <t>ExxonMobil Holdings Corporation</t>
        </is>
      </c>
      <c r="H92" s="6" t="inlineStr">
        <is>
          <t>NYSE</t>
        </is>
      </c>
      <c r="I92" s="6" t="inlineStr">
        <is>
          <t>filled</t>
        </is>
      </c>
      <c r="J92" s="16" t="n">
        <v>3.658320493</v>
      </c>
      <c r="K92" s="17" t="n">
        <v>181.72</v>
      </c>
      <c r="L92" s="17">
        <f>IF(AND(ISNUMBER(J92),ISNUMBER(K92)),J92*K92,"")</f>
        <v/>
      </c>
      <c r="M92" s="17" t="n">
        <v>664.8</v>
      </c>
      <c r="N92" s="16" t="n"/>
      <c r="O92" s="6" t="inlineStr">
        <is>
          <t>4+/5 green</t>
        </is>
      </c>
      <c r="P92" s="15" t="inlineStr">
        <is>
          <t>5 of 5 green, time machine green, rank #4, 8.33% of the $7,980.85 free cash split 12 ways</t>
        </is>
      </c>
      <c r="Q92" s="12" t="n">
        <v>5</v>
      </c>
      <c r="R92" s="6" t="inlineStr">
        <is>
          <t>ok</t>
        </is>
      </c>
      <c r="S92" s="18" t="n">
        <v>0.624</v>
      </c>
      <c r="T92" s="12" t="n">
        <v>93</v>
      </c>
      <c r="U92" s="19" t="n">
        <v>0.0119</v>
      </c>
      <c r="V92" s="19" t="n">
        <v>-0.1395</v>
      </c>
      <c r="W92" s="12" t="n">
        <v>4</v>
      </c>
      <c r="X92" s="6" t="inlineStr">
        <is>
          <t>ok</t>
        </is>
      </c>
      <c r="Y92" s="19" t="n">
        <v>0.0001</v>
      </c>
      <c r="Z92" s="6" t="inlineStr">
        <is>
          <t>ok</t>
        </is>
      </c>
      <c r="AA92" s="12" t="n">
        <v>100</v>
      </c>
      <c r="AB92" s="15" t="n"/>
      <c r="AC92" s="6" t="inlineStr">
        <is>
          <t>ok</t>
        </is>
      </c>
      <c r="AD92" s="6" t="inlineStr">
        <is>
          <t>up</t>
        </is>
      </c>
      <c r="AE92" s="17" t="n">
        <v>184.0513</v>
      </c>
      <c r="AF92" s="17" t="n">
        <v>177.9106</v>
      </c>
      <c r="AG92" s="17" t="n">
        <v>190.1919</v>
      </c>
      <c r="AH92" s="20" t="n">
        <v>46331</v>
      </c>
      <c r="AI92" s="18" t="n">
        <v>0.57</v>
      </c>
      <c r="AJ92" s="6" t="inlineStr">
        <is>
          <t>ok</t>
        </is>
      </c>
      <c r="AK92" s="12" t="n">
        <v>4</v>
      </c>
      <c r="AL92" s="15" t="inlineStr">
        <is>
          <t>Top 3 Energy Stocks You May Want To Dump In Q4</t>
        </is>
      </c>
      <c r="AM92" s="17" t="n">
        <v>181.595</v>
      </c>
      <c r="AN92" s="19" t="n">
        <v>-0.0027</v>
      </c>
      <c r="AO92" s="17" t="n">
        <v>99368.08</v>
      </c>
      <c r="AP92" s="17" t="n">
        <v>7980.85</v>
      </c>
      <c r="AQ92" s="19" t="n">
        <v>0.0833</v>
      </c>
      <c r="AR92" s="16" t="n"/>
      <c r="AS92" s="17" t="n"/>
      <c r="AT92" s="19" t="n"/>
      <c r="AU92" s="6" t="inlineStr">
        <is>
          <t>paper</t>
        </is>
      </c>
      <c r="AV92" s="6" t="inlineStr">
        <is>
          <t>894141b0-8346-46b3-a49c-bbf0dbf99138</t>
        </is>
      </c>
      <c r="AW92" s="6" t="inlineStr">
        <is>
          <t>tdagent-buy-XOM-1793287008620</t>
        </is>
      </c>
      <c r="AX92" s="13" t="n">
        <v>46324.63666666667</v>
      </c>
      <c r="AY92" s="13" t="n">
        <v>46324.63667824074</v>
      </c>
      <c r="AZ92" s="13" t="n">
        <v>46324.63631944444</v>
      </c>
      <c r="BA92" s="6" t="n"/>
    </row>
    <row r="93">
      <c r="A93" s="12" t="n">
        <v>92</v>
      </c>
      <c r="B93" s="13" t="n">
        <v>46324.67835648148</v>
      </c>
      <c r="C93" s="13" t="n">
        <v>46324.47002314815</v>
      </c>
      <c r="D93" s="13" t="n">
        <v>46324.63668981481</v>
      </c>
      <c r="E93" s="14" t="inlineStr">
        <is>
          <t>BUY</t>
        </is>
      </c>
      <c r="F93" s="6" t="inlineStr">
        <is>
          <t>DT</t>
        </is>
      </c>
      <c r="G93" s="15" t="inlineStr">
        <is>
          <t>Dynatrace, Inc.</t>
        </is>
      </c>
      <c r="H93" s="6" t="inlineStr">
        <is>
          <t>NYSE</t>
        </is>
      </c>
      <c r="I93" s="6" t="inlineStr">
        <is>
          <t>filled</t>
        </is>
      </c>
      <c r="J93" s="16" t="n">
        <v>10.943045267</v>
      </c>
      <c r="K93" s="17" t="n">
        <v>60.75</v>
      </c>
      <c r="L93" s="17">
        <f>IF(AND(ISNUMBER(J93),ISNUMBER(K93)),J93*K93,"")</f>
        <v/>
      </c>
      <c r="M93" s="17" t="n">
        <v>664.8</v>
      </c>
      <c r="N93" s="16" t="n"/>
      <c r="O93" s="6" t="inlineStr">
        <is>
          <t>4+/5 green</t>
        </is>
      </c>
      <c r="P93" s="15" t="inlineStr">
        <is>
          <t>5 of 5 green, time machine green, rank #5, 8.33% of the $7,980.85 free cash split 12 ways</t>
        </is>
      </c>
      <c r="Q93" s="12" t="n">
        <v>5</v>
      </c>
      <c r="R93" s="6" t="inlineStr">
        <is>
          <t>ok</t>
        </is>
      </c>
      <c r="S93" s="18" t="n">
        <v>0.635</v>
      </c>
      <c r="T93" s="12" t="n">
        <v>52</v>
      </c>
      <c r="U93" s="19" t="n">
        <v>0.0125</v>
      </c>
      <c r="V93" s="19" t="n">
        <v>-0.1395</v>
      </c>
      <c r="W93" s="12" t="n">
        <v>5</v>
      </c>
      <c r="X93" s="6" t="inlineStr">
        <is>
          <t>ok</t>
        </is>
      </c>
      <c r="Y93" s="19" t="n">
        <v>0.0002</v>
      </c>
      <c r="Z93" s="6" t="inlineStr">
        <is>
          <t>ok</t>
        </is>
      </c>
      <c r="AA93" s="12" t="n">
        <v>100</v>
      </c>
      <c r="AB93" s="15" t="n"/>
      <c r="AC93" s="6" t="inlineStr">
        <is>
          <t>ok</t>
        </is>
      </c>
      <c r="AD93" s="6" t="inlineStr">
        <is>
          <t>up</t>
        </is>
      </c>
      <c r="AE93" s="17" t="n">
        <v>62.0102</v>
      </c>
      <c r="AF93" s="17" t="n">
        <v>59.0097</v>
      </c>
      <c r="AG93" s="17" t="n">
        <v>65.0106</v>
      </c>
      <c r="AH93" s="20" t="n">
        <v>46331</v>
      </c>
      <c r="AI93" s="18" t="n">
        <v>0.54</v>
      </c>
      <c r="AJ93" s="6" t="inlineStr">
        <is>
          <t>ok</t>
        </is>
      </c>
      <c r="AK93" s="12" t="n">
        <v>4</v>
      </c>
      <c r="AL93" s="15" t="inlineStr">
        <is>
          <t>Rosenblatt Maintains Buy on Dynatrace, Raises Price Target to $70</t>
        </is>
      </c>
      <c r="AM93" s="17" t="n">
        <v>60.8</v>
      </c>
      <c r="AN93" s="19" t="n">
        <v>-0.0329</v>
      </c>
      <c r="AO93" s="17" t="n">
        <v>99368.08</v>
      </c>
      <c r="AP93" s="17" t="n">
        <v>7980.85</v>
      </c>
      <c r="AQ93" s="19" t="n">
        <v>0.0833</v>
      </c>
      <c r="AR93" s="16" t="n"/>
      <c r="AS93" s="17" t="n"/>
      <c r="AT93" s="19" t="n"/>
      <c r="AU93" s="6" t="inlineStr">
        <is>
          <t>paper</t>
        </is>
      </c>
      <c r="AV93" s="6" t="inlineStr">
        <is>
          <t>80a8cba4-7fd6-4ee7-9cb9-d4b67e28d726</t>
        </is>
      </c>
      <c r="AW93" s="6" t="inlineStr">
        <is>
          <t>tdagent-buy-DT-1793287008877</t>
        </is>
      </c>
      <c r="AX93" s="13" t="n">
        <v>46324.63666666667</v>
      </c>
      <c r="AY93" s="13" t="n">
        <v>46324.63668981481</v>
      </c>
      <c r="AZ93" s="13" t="n">
        <v>46324.63631944444</v>
      </c>
      <c r="BA93" s="6" t="n"/>
    </row>
    <row r="94">
      <c r="A94" s="12" t="n">
        <v>93</v>
      </c>
      <c r="B94" s="13" t="n">
        <v>46324.67835648148</v>
      </c>
      <c r="C94" s="13" t="n">
        <v>46324.47002314815</v>
      </c>
      <c r="D94" s="13" t="n">
        <v>46324.63668981481</v>
      </c>
      <c r="E94" s="14" t="inlineStr">
        <is>
          <t>BUY</t>
        </is>
      </c>
      <c r="F94" s="6" t="inlineStr">
        <is>
          <t>DUK</t>
        </is>
      </c>
      <c r="G94" s="15" t="inlineStr">
        <is>
          <t>Duke Energy Corporation</t>
        </is>
      </c>
      <c r="H94" s="6" t="inlineStr">
        <is>
          <t>NYSE</t>
        </is>
      </c>
      <c r="I94" s="6" t="inlineStr">
        <is>
          <t>filled</t>
        </is>
      </c>
      <c r="J94" s="16" t="n">
        <v>5.287020836</v>
      </c>
      <c r="K94" s="17" t="n">
        <v>125.74</v>
      </c>
      <c r="L94" s="17">
        <f>IF(AND(ISNUMBER(J94),ISNUMBER(K94)),J94*K94,"")</f>
        <v/>
      </c>
      <c r="M94" s="17" t="n">
        <v>664.8</v>
      </c>
      <c r="N94" s="16" t="n"/>
      <c r="O94" s="6" t="inlineStr">
        <is>
          <t>4+/5 green</t>
        </is>
      </c>
      <c r="P94" s="15" t="inlineStr">
        <is>
          <t>5 of 5 green, time machine green, rank #6, 8.33% of the $7,980.85 free cash split 12 ways</t>
        </is>
      </c>
      <c r="Q94" s="12" t="n">
        <v>5</v>
      </c>
      <c r="R94" s="6" t="inlineStr">
        <is>
          <t>ok</t>
        </is>
      </c>
      <c r="S94" s="18" t="n">
        <v>0.615</v>
      </c>
      <c r="T94" s="12" t="n">
        <v>26</v>
      </c>
      <c r="U94" s="19" t="n">
        <v>0.0075</v>
      </c>
      <c r="V94" s="19" t="n">
        <v>-0.1395</v>
      </c>
      <c r="W94" s="12" t="n">
        <v>6</v>
      </c>
      <c r="X94" s="6" t="inlineStr">
        <is>
          <t>ok</t>
        </is>
      </c>
      <c r="Y94" s="19" t="n">
        <v>0.0003</v>
      </c>
      <c r="Z94" s="6" t="inlineStr">
        <is>
          <t>ok</t>
        </is>
      </c>
      <c r="AA94" s="12" t="n">
        <v>100</v>
      </c>
      <c r="AB94" s="15" t="n"/>
      <c r="AC94" s="6" t="inlineStr">
        <is>
          <t>ok</t>
        </is>
      </c>
      <c r="AD94" s="6" t="inlineStr">
        <is>
          <t>up</t>
        </is>
      </c>
      <c r="AE94" s="17" t="n">
        <v>126.9377</v>
      </c>
      <c r="AF94" s="17" t="n">
        <v>123.8434</v>
      </c>
      <c r="AG94" s="17" t="n">
        <v>130.032</v>
      </c>
      <c r="AH94" s="20" t="n">
        <v>46331</v>
      </c>
      <c r="AI94" s="18" t="n">
        <v>0.55</v>
      </c>
      <c r="AJ94" s="6" t="inlineStr">
        <is>
          <t>ok</t>
        </is>
      </c>
      <c r="AK94" s="12" t="n">
        <v>1</v>
      </c>
      <c r="AL94" s="15" t="inlineStr">
        <is>
          <t>Duke Energy Updates Emergency Planning Zones for Brunswick Nuclear Plant</t>
        </is>
      </c>
      <c r="AM94" s="17" t="n">
        <v>125.7</v>
      </c>
      <c r="AN94" s="19" t="n">
        <v>0.0167</v>
      </c>
      <c r="AO94" s="17" t="n">
        <v>99368.08</v>
      </c>
      <c r="AP94" s="17" t="n">
        <v>7980.85</v>
      </c>
      <c r="AQ94" s="19" t="n">
        <v>0.0833</v>
      </c>
      <c r="AR94" s="16" t="n"/>
      <c r="AS94" s="17" t="n"/>
      <c r="AT94" s="19" t="n"/>
      <c r="AU94" s="6" t="inlineStr">
        <is>
          <t>paper</t>
        </is>
      </c>
      <c r="AV94" s="6" t="inlineStr">
        <is>
          <t>584d2887-04f8-4615-a1fa-d901e34e2f86</t>
        </is>
      </c>
      <c r="AW94" s="6" t="inlineStr">
        <is>
          <t>tdagent-buy-DUK-1793287009163</t>
        </is>
      </c>
      <c r="AX94" s="13" t="n">
        <v>46324.63667824074</v>
      </c>
      <c r="AY94" s="13" t="n">
        <v>46324.63668981481</v>
      </c>
      <c r="AZ94" s="13" t="n">
        <v>46324.63631944444</v>
      </c>
      <c r="BA94" s="6" t="n"/>
    </row>
    <row r="95">
      <c r="A95" s="12" t="n">
        <v>94</v>
      </c>
      <c r="B95" s="13" t="n">
        <v>46324.67835648148</v>
      </c>
      <c r="C95" s="13" t="n">
        <v>46324.47002314815</v>
      </c>
      <c r="D95" s="13" t="n">
        <v>46324.63668981481</v>
      </c>
      <c r="E95" s="14" t="inlineStr">
        <is>
          <t>BUY</t>
        </is>
      </c>
      <c r="F95" s="6" t="inlineStr">
        <is>
          <t>KR</t>
        </is>
      </c>
      <c r="G95" s="15" t="inlineStr">
        <is>
          <t>The Kroger Co.</t>
        </is>
      </c>
      <c r="H95" s="6" t="inlineStr">
        <is>
          <t>NYSE</t>
        </is>
      </c>
      <c r="I95" s="6" t="inlineStr">
        <is>
          <t>filled</t>
        </is>
      </c>
      <c r="J95" s="16" t="n">
        <v>10.152565668</v>
      </c>
      <c r="K95" s="17" t="n">
        <v>65.48</v>
      </c>
      <c r="L95" s="17">
        <f>IF(AND(ISNUMBER(J95),ISNUMBER(K95)),J95*K95,"")</f>
        <v/>
      </c>
      <c r="M95" s="17" t="n">
        <v>664.8</v>
      </c>
      <c r="N95" s="16" t="n"/>
      <c r="O95" s="6" t="inlineStr">
        <is>
          <t>4+/5 green</t>
        </is>
      </c>
      <c r="P95" s="15" t="inlineStr">
        <is>
          <t>5 of 5 green, time machine green, rank #7, 8.33% of the $7,980.85 free cash split 12 ways</t>
        </is>
      </c>
      <c r="Q95" s="12" t="n">
        <v>5</v>
      </c>
      <c r="R95" s="6" t="inlineStr">
        <is>
          <t>ok</t>
        </is>
      </c>
      <c r="S95" s="18" t="n">
        <v>0.615</v>
      </c>
      <c r="T95" s="12" t="n">
        <v>39</v>
      </c>
      <c r="U95" s="19" t="n">
        <v>0.0137</v>
      </c>
      <c r="V95" s="19" t="n">
        <v>-0.1395</v>
      </c>
      <c r="W95" s="12" t="n">
        <v>7</v>
      </c>
      <c r="X95" s="6" t="inlineStr">
        <is>
          <t>ok</t>
        </is>
      </c>
      <c r="Y95" s="19" t="n">
        <v>0.0018</v>
      </c>
      <c r="Z95" s="6" t="inlineStr">
        <is>
          <t>ok</t>
        </is>
      </c>
      <c r="AA95" s="12" t="n">
        <v>100</v>
      </c>
      <c r="AB95" s="15" t="n"/>
      <c r="AC95" s="6" t="inlineStr">
        <is>
          <t>ok</t>
        </is>
      </c>
      <c r="AD95" s="6" t="inlineStr">
        <is>
          <t>up</t>
        </is>
      </c>
      <c r="AE95" s="17" t="n">
        <v>66.5149</v>
      </c>
      <c r="AF95" s="17" t="n">
        <v>63.9026</v>
      </c>
      <c r="AG95" s="17" t="n">
        <v>69.12730000000001</v>
      </c>
      <c r="AH95" s="20" t="n">
        <v>46331</v>
      </c>
      <c r="AI95" s="18" t="n">
        <v>0.55</v>
      </c>
      <c r="AJ95" s="6" t="inlineStr">
        <is>
          <t>ok</t>
        </is>
      </c>
      <c r="AK95" s="12" t="n">
        <v>4</v>
      </c>
      <c r="AL95" s="15" t="inlineStr">
        <is>
          <t>Kroger Announces High Critical Ratings for Exclusive Wine Portfolio</t>
        </is>
      </c>
      <c r="AM95" s="17" t="n">
        <v>65.47</v>
      </c>
      <c r="AN95" s="19" t="n">
        <v>0.0069</v>
      </c>
      <c r="AO95" s="17" t="n">
        <v>99368.08</v>
      </c>
      <c r="AP95" s="17" t="n">
        <v>7980.85</v>
      </c>
      <c r="AQ95" s="19" t="n">
        <v>0.0833</v>
      </c>
      <c r="AR95" s="16" t="n"/>
      <c r="AS95" s="17" t="n"/>
      <c r="AT95" s="19" t="n"/>
      <c r="AU95" s="6" t="inlineStr">
        <is>
          <t>paper</t>
        </is>
      </c>
      <c r="AV95" s="6" t="inlineStr">
        <is>
          <t>aeb6105c-3950-4bf5-801f-10b147dce0b5</t>
        </is>
      </c>
      <c r="AW95" s="6" t="inlineStr">
        <is>
          <t>tdagent-buy-KR-1793287009428</t>
        </is>
      </c>
      <c r="AX95" s="13" t="n">
        <v>46324.63667824074</v>
      </c>
      <c r="AY95" s="13" t="n">
        <v>46324.63668981481</v>
      </c>
      <c r="AZ95" s="13" t="n">
        <v>46324.63631944444</v>
      </c>
      <c r="BA95" s="6" t="n"/>
    </row>
    <row r="96">
      <c r="A96" s="12" t="n">
        <v>95</v>
      </c>
      <c r="B96" s="13" t="n">
        <v>46324.67835648148</v>
      </c>
      <c r="C96" s="13" t="n">
        <v>46324.47002314815</v>
      </c>
      <c r="D96" s="13" t="n">
        <v>46324.63668981481</v>
      </c>
      <c r="E96" s="14" t="inlineStr">
        <is>
          <t>BUY</t>
        </is>
      </c>
      <c r="F96" s="6" t="inlineStr">
        <is>
          <t>SHEL</t>
        </is>
      </c>
      <c r="G96" s="15" t="inlineStr">
        <is>
          <t>Shell plc American Depositary Shares (Each represents two Ordinary shares)</t>
        </is>
      </c>
      <c r="H96" s="6" t="inlineStr">
        <is>
          <t>NYSE</t>
        </is>
      </c>
      <c r="I96" s="6" t="inlineStr">
        <is>
          <t>filled</t>
        </is>
      </c>
      <c r="J96" s="16" t="n">
        <v>6.184668341</v>
      </c>
      <c r="K96" s="17" t="n">
        <v>107.49</v>
      </c>
      <c r="L96" s="17">
        <f>IF(AND(ISNUMBER(J96),ISNUMBER(K96)),J96*K96,"")</f>
        <v/>
      </c>
      <c r="M96" s="17" t="n">
        <v>664.8</v>
      </c>
      <c r="N96" s="16" t="n"/>
      <c r="O96" s="6" t="inlineStr">
        <is>
          <t>4+/5 green</t>
        </is>
      </c>
      <c r="P96" s="15" t="inlineStr">
        <is>
          <t>4 of 5 green, time machine green, rank #8, 8.33% of the $7,980.85 free cash split 12 ways</t>
        </is>
      </c>
      <c r="Q96" s="12" t="n">
        <v>4</v>
      </c>
      <c r="R96" s="6" t="inlineStr">
        <is>
          <t>ok</t>
        </is>
      </c>
      <c r="S96" s="18" t="n">
        <v>0.667</v>
      </c>
      <c r="T96" s="12" t="n">
        <v>90</v>
      </c>
      <c r="U96" s="19" t="n">
        <v>0.0127</v>
      </c>
      <c r="V96" s="19" t="n">
        <v>-0.1395</v>
      </c>
      <c r="W96" s="12" t="n">
        <v>8</v>
      </c>
      <c r="X96" s="6" t="inlineStr">
        <is>
          <t>ok</t>
        </is>
      </c>
      <c r="Y96" s="19" t="n">
        <v>0</v>
      </c>
      <c r="Z96" s="6" t="inlineStr">
        <is>
          <t>ok</t>
        </is>
      </c>
      <c r="AA96" s="12" t="n">
        <v>100</v>
      </c>
      <c r="AB96" s="15" t="n"/>
      <c r="AC96" s="6" t="inlineStr">
        <is>
          <t>ok</t>
        </is>
      </c>
      <c r="AD96" s="6" t="inlineStr">
        <is>
          <t>up</t>
        </is>
      </c>
      <c r="AE96" s="17" t="n">
        <v>108.6361</v>
      </c>
      <c r="AF96" s="17" t="n">
        <v>105.5708</v>
      </c>
      <c r="AG96" s="17" t="n">
        <v>111.7015</v>
      </c>
      <c r="AH96" s="20" t="n">
        <v>46331</v>
      </c>
      <c r="AI96" s="18" t="n">
        <v>0.58</v>
      </c>
      <c r="AJ96" s="6" t="inlineStr">
        <is>
          <t>watch</t>
        </is>
      </c>
      <c r="AK96" s="12" t="n">
        <v>10</v>
      </c>
      <c r="AL96" s="15" t="inlineStr">
        <is>
          <t>Shell Q3 Earnings Reach Highest Level Since 2022 Amid Middle-East Turmoil</t>
        </is>
      </c>
      <c r="AM96" s="17" t="n">
        <v>107.405</v>
      </c>
      <c r="AN96" s="19" t="n">
        <v>0.0219</v>
      </c>
      <c r="AO96" s="17" t="n">
        <v>99368.08</v>
      </c>
      <c r="AP96" s="17" t="n">
        <v>7980.85</v>
      </c>
      <c r="AQ96" s="19" t="n">
        <v>0.0833</v>
      </c>
      <c r="AR96" s="16" t="n"/>
      <c r="AS96" s="17" t="n"/>
      <c r="AT96" s="19" t="n"/>
      <c r="AU96" s="6" t="inlineStr">
        <is>
          <t>paper</t>
        </is>
      </c>
      <c r="AV96" s="6" t="inlineStr">
        <is>
          <t>aa029f26-64e4-4ab1-b405-70dc8dc432cc</t>
        </is>
      </c>
      <c r="AW96" s="6" t="inlineStr">
        <is>
          <t>tdagent-buy-SHEL-1793287009677</t>
        </is>
      </c>
      <c r="AX96" s="13" t="n">
        <v>46324.63667824074</v>
      </c>
      <c r="AY96" s="13" t="n">
        <v>46324.63668981481</v>
      </c>
      <c r="AZ96" s="13" t="n">
        <v>46324.63631944444</v>
      </c>
      <c r="BA96" s="6" t="n"/>
    </row>
    <row r="97">
      <c r="A97" s="12" t="n">
        <v>96</v>
      </c>
      <c r="B97" s="13" t="n">
        <v>46324.67835648148</v>
      </c>
      <c r="C97" s="13" t="n">
        <v>46324.47002314815</v>
      </c>
      <c r="D97" s="13" t="n">
        <v>46324.63668981481</v>
      </c>
      <c r="E97" s="14" t="inlineStr">
        <is>
          <t>BUY</t>
        </is>
      </c>
      <c r="F97" s="6" t="inlineStr">
        <is>
          <t>ILMN</t>
        </is>
      </c>
      <c r="G97" s="15" t="inlineStr">
        <is>
          <t>Illumina, Inc. Common Stock</t>
        </is>
      </c>
      <c r="H97" s="6" t="inlineStr">
        <is>
          <t>NASDAQ</t>
        </is>
      </c>
      <c r="I97" s="6" t="inlineStr">
        <is>
          <t>filled</t>
        </is>
      </c>
      <c r="J97" s="16" t="n">
        <v>2.303818963</v>
      </c>
      <c r="K97" s="17" t="n">
        <v>288.56</v>
      </c>
      <c r="L97" s="17">
        <f>IF(AND(ISNUMBER(J97),ISNUMBER(K97)),J97*K97,"")</f>
        <v/>
      </c>
      <c r="M97" s="17" t="n">
        <v>664.8</v>
      </c>
      <c r="N97" s="16" t="n"/>
      <c r="O97" s="6" t="inlineStr">
        <is>
          <t>4+/5 green</t>
        </is>
      </c>
      <c r="P97" s="15" t="inlineStr">
        <is>
          <t>5 of 5 green, time machine green, rank #10, 8.33% of the $7,980.85 free cash split 12 ways</t>
        </is>
      </c>
      <c r="Q97" s="12" t="n">
        <v>5</v>
      </c>
      <c r="R97" s="6" t="inlineStr">
        <is>
          <t>ok</t>
        </is>
      </c>
      <c r="S97" s="18" t="n">
        <v>0.595</v>
      </c>
      <c r="T97" s="12" t="n">
        <v>126</v>
      </c>
      <c r="U97" s="19" t="n">
        <v>0.0155</v>
      </c>
      <c r="V97" s="19" t="n">
        <v>-0.1395</v>
      </c>
      <c r="W97" s="12" t="n">
        <v>10</v>
      </c>
      <c r="X97" s="6" t="inlineStr">
        <is>
          <t>ok</t>
        </is>
      </c>
      <c r="Y97" s="19" t="n">
        <v>0</v>
      </c>
      <c r="Z97" s="6" t="inlineStr">
        <is>
          <t>ok</t>
        </is>
      </c>
      <c r="AA97" s="12" t="n">
        <v>100</v>
      </c>
      <c r="AB97" s="15" t="n"/>
      <c r="AC97" s="6" t="inlineStr">
        <is>
          <t>ok</t>
        </is>
      </c>
      <c r="AD97" s="6" t="inlineStr">
        <is>
          <t>up</t>
        </is>
      </c>
      <c r="AE97" s="17" t="n">
        <v>296.6903</v>
      </c>
      <c r="AF97" s="17" t="n">
        <v>275.5645</v>
      </c>
      <c r="AG97" s="17" t="n">
        <v>317.8161</v>
      </c>
      <c r="AH97" s="20" t="n">
        <v>46331</v>
      </c>
      <c r="AI97" s="18" t="n">
        <v>0.54</v>
      </c>
      <c r="AJ97" s="6" t="inlineStr">
        <is>
          <t>ok</t>
        </is>
      </c>
      <c r="AK97" s="12" t="n">
        <v>1</v>
      </c>
      <c r="AL97" s="15" t="inlineStr">
        <is>
          <t>Amazon, Eli Lilly On Deck Thursday As AWS Growth, Drug Demand Face Test</t>
        </is>
      </c>
      <c r="AM97" s="17" t="n">
        <v>288.24</v>
      </c>
      <c r="AN97" s="19" t="n">
        <v>-0.002</v>
      </c>
      <c r="AO97" s="17" t="n">
        <v>99368.08</v>
      </c>
      <c r="AP97" s="17" t="n">
        <v>7980.85</v>
      </c>
      <c r="AQ97" s="19" t="n">
        <v>0.0833</v>
      </c>
      <c r="AR97" s="16" t="n"/>
      <c r="AS97" s="17" t="n"/>
      <c r="AT97" s="19" t="n"/>
      <c r="AU97" s="6" t="inlineStr">
        <is>
          <t>paper</t>
        </is>
      </c>
      <c r="AV97" s="6" t="inlineStr">
        <is>
          <t>31d91322-0a25-4696-abe1-71b5cad5972d</t>
        </is>
      </c>
      <c r="AW97" s="6" t="inlineStr">
        <is>
          <t>tdagent-buy-ILMN-1793287010075</t>
        </is>
      </c>
      <c r="AX97" s="13" t="n">
        <v>46324.63668981481</v>
      </c>
      <c r="AY97" s="13" t="n">
        <v>46324.63668981481</v>
      </c>
      <c r="AZ97" s="13" t="n">
        <v>46324.63631944444</v>
      </c>
      <c r="BA97" s="6" t="n"/>
    </row>
    <row r="98">
      <c r="A98" s="12" t="n">
        <v>97</v>
      </c>
      <c r="B98" s="13" t="n">
        <v>46324.67835648148</v>
      </c>
      <c r="C98" s="13" t="n">
        <v>46324.47002314815</v>
      </c>
      <c r="D98" s="13" t="n">
        <v>46324.63668981481</v>
      </c>
      <c r="E98" s="14" t="inlineStr">
        <is>
          <t>BUY</t>
        </is>
      </c>
      <c r="F98" s="6" t="inlineStr">
        <is>
          <t>ACN</t>
        </is>
      </c>
      <c r="G98" s="15" t="inlineStr">
        <is>
          <t>Accenture PLC</t>
        </is>
      </c>
      <c r="H98" s="6" t="inlineStr">
        <is>
          <t>NYSE</t>
        </is>
      </c>
      <c r="I98" s="6" t="inlineStr">
        <is>
          <t>filled</t>
        </is>
      </c>
      <c r="J98" s="16" t="n">
        <v>2.726336942</v>
      </c>
      <c r="K98" s="17" t="n">
        <v>243.84</v>
      </c>
      <c r="L98" s="17">
        <f>IF(AND(ISNUMBER(J98),ISNUMBER(K98)),J98*K98,"")</f>
        <v/>
      </c>
      <c r="M98" s="17" t="n">
        <v>664.8</v>
      </c>
      <c r="N98" s="16" t="n"/>
      <c r="O98" s="6" t="inlineStr">
        <is>
          <t>4+/5 green</t>
        </is>
      </c>
      <c r="P98" s="15" t="inlineStr">
        <is>
          <t>5 of 5 green, time machine green, rank #12, 8.33% of the $7,980.85 free cash split 12 ways</t>
        </is>
      </c>
      <c r="Q98" s="12" t="n">
        <v>5</v>
      </c>
      <c r="R98" s="6" t="inlineStr">
        <is>
          <t>ok</t>
        </is>
      </c>
      <c r="S98" s="18" t="n">
        <v>0.551</v>
      </c>
      <c r="T98" s="12" t="n">
        <v>49</v>
      </c>
      <c r="U98" s="19" t="n">
        <v>0.0072</v>
      </c>
      <c r="V98" s="19" t="n">
        <v>-0.1395</v>
      </c>
      <c r="W98" s="12" t="n">
        <v>12</v>
      </c>
      <c r="X98" s="6" t="inlineStr">
        <is>
          <t>ok</t>
        </is>
      </c>
      <c r="Y98" s="19" t="n">
        <v>0.0008</v>
      </c>
      <c r="Z98" s="6" t="inlineStr">
        <is>
          <t>ok</t>
        </is>
      </c>
      <c r="AA98" s="12" t="n">
        <v>100</v>
      </c>
      <c r="AB98" s="15" t="n"/>
      <c r="AC98" s="6" t="inlineStr">
        <is>
          <t>ok</t>
        </is>
      </c>
      <c r="AD98" s="6" t="inlineStr">
        <is>
          <t>up</t>
        </is>
      </c>
      <c r="AE98" s="17" t="n">
        <v>250.9857</v>
      </c>
      <c r="AF98" s="17" t="n">
        <v>232.234</v>
      </c>
      <c r="AG98" s="17" t="n">
        <v>269.7373</v>
      </c>
      <c r="AH98" s="20" t="n">
        <v>46331</v>
      </c>
      <c r="AI98" s="18" t="n">
        <v>0.57</v>
      </c>
      <c r="AJ98" s="6" t="inlineStr">
        <is>
          <t>ok</t>
        </is>
      </c>
      <c r="AK98" s="12" t="n">
        <v>5</v>
      </c>
      <c r="AL98" s="15" t="inlineStr">
        <is>
          <t>Accenture Recognized in 2026 Guidewire PartnerConnect Excellence Awards</t>
        </is>
      </c>
      <c r="AM98" s="17" t="n">
        <v>243.485</v>
      </c>
      <c r="AN98" s="19" t="n">
        <v>-0.0015</v>
      </c>
      <c r="AO98" s="17" t="n">
        <v>99368.08</v>
      </c>
      <c r="AP98" s="17" t="n">
        <v>7980.85</v>
      </c>
      <c r="AQ98" s="19" t="n">
        <v>0.0833</v>
      </c>
      <c r="AR98" s="16" t="n"/>
      <c r="AS98" s="17" t="n"/>
      <c r="AT98" s="19" t="n"/>
      <c r="AU98" s="6" t="inlineStr">
        <is>
          <t>paper</t>
        </is>
      </c>
      <c r="AV98" s="6" t="inlineStr">
        <is>
          <t>10044009-32c9-4f22-a20f-9acdfdd2b100</t>
        </is>
      </c>
      <c r="AW98" s="6" t="inlineStr">
        <is>
          <t>tdagent-buy-ACN-1793287010453</t>
        </is>
      </c>
      <c r="AX98" s="13" t="n">
        <v>46324.63668981481</v>
      </c>
      <c r="AY98" s="13" t="n">
        <v>46324.63668981481</v>
      </c>
      <c r="AZ98" s="13" t="n">
        <v>46324.63631944444</v>
      </c>
      <c r="BA98" s="6" t="n"/>
    </row>
    <row r="99">
      <c r="A99" s="12" t="n">
        <v>98</v>
      </c>
      <c r="B99" s="13" t="n">
        <v>46324.67839120371</v>
      </c>
      <c r="C99" s="13" t="n">
        <v>46324.47005787037</v>
      </c>
      <c r="D99" s="13" t="n">
        <v>46324.63672453703</v>
      </c>
      <c r="E99" s="14" t="inlineStr">
        <is>
          <t>BUY</t>
        </is>
      </c>
      <c r="F99" s="6" t="inlineStr">
        <is>
          <t>EQNR</t>
        </is>
      </c>
      <c r="G99" s="15" t="inlineStr">
        <is>
          <t>Equinor ASA American Depositary Shares (Each Representing One Ordinary Share, nominal value NOK 2.50 per share)</t>
        </is>
      </c>
      <c r="H99" s="6" t="inlineStr">
        <is>
          <t>NYSE</t>
        </is>
      </c>
      <c r="I99" s="6" t="inlineStr">
        <is>
          <t>filled</t>
        </is>
      </c>
      <c r="J99" s="16" t="n">
        <v>14.117434699</v>
      </c>
      <c r="K99" s="17" t="n">
        <v>47.09</v>
      </c>
      <c r="L99" s="17">
        <f>IF(AND(ISNUMBER(J99),ISNUMBER(K99)),J99*K99,"")</f>
        <v/>
      </c>
      <c r="M99" s="17" t="n">
        <v>664.8</v>
      </c>
      <c r="N99" s="16" t="n"/>
      <c r="O99" s="6" t="inlineStr">
        <is>
          <t>4+/5 green</t>
        </is>
      </c>
      <c r="P99" s="15" t="inlineStr">
        <is>
          <t>4 of 5 green, time machine green, rank #13, 8.33% of the $7,980.85 free cash split 12 ways</t>
        </is>
      </c>
      <c r="Q99" s="12" t="n">
        <v>4</v>
      </c>
      <c r="R99" s="6" t="inlineStr">
        <is>
          <t>ok</t>
        </is>
      </c>
      <c r="S99" s="18" t="n">
        <v>0.667</v>
      </c>
      <c r="T99" s="12" t="n">
        <v>78</v>
      </c>
      <c r="U99" s="19" t="n">
        <v>0.0138</v>
      </c>
      <c r="V99" s="19" t="n">
        <v>-0.1395</v>
      </c>
      <c r="W99" s="12" t="n">
        <v>13</v>
      </c>
      <c r="X99" s="6" t="inlineStr">
        <is>
          <t>ok</t>
        </is>
      </c>
      <c r="Y99" s="19" t="n">
        <v>0.0001</v>
      </c>
      <c r="Z99" s="6" t="inlineStr">
        <is>
          <t>ok</t>
        </is>
      </c>
      <c r="AA99" s="12" t="n">
        <v>100</v>
      </c>
      <c r="AB99" s="15" t="n"/>
      <c r="AC99" s="6" t="inlineStr">
        <is>
          <t>ok</t>
        </is>
      </c>
      <c r="AD99" s="6" t="inlineStr">
        <is>
          <t>up</t>
        </is>
      </c>
      <c r="AE99" s="17" t="n">
        <v>47.9373</v>
      </c>
      <c r="AF99" s="17" t="n">
        <v>45.7066</v>
      </c>
      <c r="AG99" s="17" t="n">
        <v>50.1679</v>
      </c>
      <c r="AH99" s="20" t="n">
        <v>46331</v>
      </c>
      <c r="AI99" s="18" t="n">
        <v>0.55</v>
      </c>
      <c r="AJ99" s="6" t="inlineStr">
        <is>
          <t>watch</t>
        </is>
      </c>
      <c r="AK99" s="12" t="n">
        <v>9</v>
      </c>
      <c r="AL99" s="15" t="inlineStr">
        <is>
          <t>Equinor Q3 2026 Earnings Call Transcript</t>
        </is>
      </c>
      <c r="AM99" s="17" t="n">
        <v>47.04</v>
      </c>
      <c r="AN99" s="19" t="n">
        <v>-0.0129</v>
      </c>
      <c r="AO99" s="17" t="n">
        <v>99368.08</v>
      </c>
      <c r="AP99" s="17" t="n">
        <v>7980.85</v>
      </c>
      <c r="AQ99" s="19" t="n">
        <v>0.0833</v>
      </c>
      <c r="AR99" s="16" t="n"/>
      <c r="AS99" s="17" t="n"/>
      <c r="AT99" s="19" t="n"/>
      <c r="AU99" s="6" t="inlineStr">
        <is>
          <t>paper</t>
        </is>
      </c>
      <c r="AV99" s="6" t="inlineStr">
        <is>
          <t>e5e7881d-f385-4d1d-8fa7-1603b6afc37d</t>
        </is>
      </c>
      <c r="AW99" s="6" t="inlineStr">
        <is>
          <t>tdagent-buy-EQNR-1793287010714</t>
        </is>
      </c>
      <c r="AX99" s="13" t="n">
        <v>46324.63668981481</v>
      </c>
      <c r="AY99" s="13" t="n">
        <v>46324.63672453703</v>
      </c>
      <c r="AZ99" s="13" t="n">
        <v>46324.63631944444</v>
      </c>
      <c r="BA99" s="6" t="n"/>
    </row>
    <row r="100">
      <c r="A100" s="12" t="n">
        <v>99</v>
      </c>
      <c r="B100" s="13" t="n">
        <v>46324.67836805555</v>
      </c>
      <c r="C100" s="13" t="n">
        <v>46324.47003472222</v>
      </c>
      <c r="D100" s="13" t="n">
        <v>46324.63670138889</v>
      </c>
      <c r="E100" s="14" t="inlineStr">
        <is>
          <t>BUY</t>
        </is>
      </c>
      <c r="F100" s="6" t="inlineStr">
        <is>
          <t>LIN</t>
        </is>
      </c>
      <c r="G100" s="15" t="inlineStr">
        <is>
          <t>Linde plc Ordinary Shares</t>
        </is>
      </c>
      <c r="H100" s="6" t="inlineStr">
        <is>
          <t>NASDAQ</t>
        </is>
      </c>
      <c r="I100" s="6" t="inlineStr">
        <is>
          <t>filled</t>
        </is>
      </c>
      <c r="J100" s="16" t="n">
        <v>1.325708929</v>
      </c>
      <c r="K100" s="17" t="n">
        <v>501.46</v>
      </c>
      <c r="L100" s="17">
        <f>IF(AND(ISNUMBER(J100),ISNUMBER(K100)),J100*K100,"")</f>
        <v/>
      </c>
      <c r="M100" s="17" t="n">
        <v>664.8</v>
      </c>
      <c r="N100" s="16" t="n"/>
      <c r="O100" s="6" t="inlineStr">
        <is>
          <t>4+/5 green</t>
        </is>
      </c>
      <c r="P100" s="15" t="inlineStr">
        <is>
          <t>4 of 5 green, time machine green, rank #14, 8.33% of the $7,980.85 free cash split 12 ways</t>
        </is>
      </c>
      <c r="Q100" s="12" t="n">
        <v>4</v>
      </c>
      <c r="R100" s="6" t="inlineStr">
        <is>
          <t>ok</t>
        </is>
      </c>
      <c r="S100" s="18" t="n">
        <v>0.635</v>
      </c>
      <c r="T100" s="12" t="n">
        <v>52</v>
      </c>
      <c r="U100" s="19" t="n">
        <v>0.0104</v>
      </c>
      <c r="V100" s="19" t="n">
        <v>-0.1395</v>
      </c>
      <c r="W100" s="12" t="n">
        <v>14</v>
      </c>
      <c r="X100" s="6" t="inlineStr">
        <is>
          <t>ok</t>
        </is>
      </c>
      <c r="Y100" s="19" t="n">
        <v>0.0031</v>
      </c>
      <c r="Z100" s="6" t="inlineStr">
        <is>
          <t>ok</t>
        </is>
      </c>
      <c r="AA100" s="12" t="n">
        <v>100</v>
      </c>
      <c r="AB100" s="15" t="n"/>
      <c r="AC100" s="6" t="inlineStr">
        <is>
          <t>ok</t>
        </is>
      </c>
      <c r="AD100" s="6" t="inlineStr">
        <is>
          <t>up</t>
        </is>
      </c>
      <c r="AE100" s="17" t="n">
        <v>505.5059</v>
      </c>
      <c r="AF100" s="17" t="n">
        <v>495.3912</v>
      </c>
      <c r="AG100" s="17" t="n">
        <v>515.6206</v>
      </c>
      <c r="AH100" s="20" t="n">
        <v>46331</v>
      </c>
      <c r="AI100" s="18" t="n">
        <v>0.5600000000000001</v>
      </c>
      <c r="AJ100" s="6" t="inlineStr">
        <is>
          <t>watch</t>
        </is>
      </c>
      <c r="AK100" s="12" t="n">
        <v>7</v>
      </c>
      <c r="AL100" s="15" t="inlineStr">
        <is>
          <t>Linde Q3 2026 Earnings Call Transcript</t>
        </is>
      </c>
      <c r="AM100" s="17" t="n">
        <v>501.46</v>
      </c>
      <c r="AN100" s="19" t="n">
        <v>-0.013</v>
      </c>
      <c r="AO100" s="17" t="n">
        <v>99368.08</v>
      </c>
      <c r="AP100" s="17" t="n">
        <v>7980.85</v>
      </c>
      <c r="AQ100" s="19" t="n">
        <v>0.0833</v>
      </c>
      <c r="AR100" s="16" t="n"/>
      <c r="AS100" s="17" t="n"/>
      <c r="AT100" s="19" t="n"/>
      <c r="AU100" s="6" t="inlineStr">
        <is>
          <t>paper</t>
        </is>
      </c>
      <c r="AV100" s="6" t="inlineStr">
        <is>
          <t>6378bfbf-8394-4536-9bf4-aabfe70b3e4f</t>
        </is>
      </c>
      <c r="AW100" s="6" t="inlineStr">
        <is>
          <t>tdagent-buy-LIN-1793287010962</t>
        </is>
      </c>
      <c r="AX100" s="13" t="n">
        <v>46324.63668981481</v>
      </c>
      <c r="AY100" s="13" t="n">
        <v>46324.63670138889</v>
      </c>
      <c r="AZ100" s="13" t="n">
        <v>46324.63631944444</v>
      </c>
      <c r="BA100" s="6" t="n"/>
    </row>
    <row r="101">
      <c r="A101" s="12" t="n">
        <v>100</v>
      </c>
      <c r="B101" s="13" t="n">
        <v>46324.68523148148</v>
      </c>
      <c r="C101" s="13" t="n">
        <v>46324.47689814815</v>
      </c>
      <c r="D101" s="13" t="n">
        <v>46324.64356481482</v>
      </c>
      <c r="E101" s="21" t="inlineStr">
        <is>
          <t>SELL</t>
        </is>
      </c>
      <c r="F101" s="6" t="inlineStr">
        <is>
          <t>LLY</t>
        </is>
      </c>
      <c r="G101" s="15" t="inlineStr">
        <is>
          <t>LLY</t>
        </is>
      </c>
      <c r="H101" s="6" t="inlineStr">
        <is>
          <t>NYSE</t>
        </is>
      </c>
      <c r="I101" s="6" t="inlineStr">
        <is>
          <t>filled</t>
        </is>
      </c>
      <c r="J101" s="16" t="n">
        <v>6.035195373</v>
      </c>
      <c r="K101" s="17" t="n">
        <v>1370.33</v>
      </c>
      <c r="L101" s="17">
        <f>IF(AND(ISNUMBER(J101),ISNUMBER(K101)),J101*K101,"")</f>
        <v/>
      </c>
      <c r="M101" s="17" t="n"/>
      <c r="N101" s="16" t="n">
        <v>6.035195373</v>
      </c>
      <c r="O101" s="6" t="inlineStr">
        <is>
          <t>trailing stop</t>
        </is>
      </c>
      <c r="P101" s="15" t="inlineStr">
        <is>
          <t>High risk sell line (1%): highest $1,398.38, fell 2.0% to $1,371.12 (line $1,384.40), -0.9% from the buy price</t>
        </is>
      </c>
      <c r="Q101" s="12" t="n">
        <v>3</v>
      </c>
      <c r="R101" s="6" t="inlineStr">
        <is>
          <t>ok</t>
        </is>
      </c>
      <c r="S101" s="18" t="n">
        <v>0.574</v>
      </c>
      <c r="T101" s="12" t="n">
        <v>68</v>
      </c>
      <c r="U101" s="19" t="n">
        <v>0.0075</v>
      </c>
      <c r="V101" s="19" t="n">
        <v>0.2893</v>
      </c>
      <c r="W101" s="12" t="n"/>
      <c r="X101" s="6" t="inlineStr">
        <is>
          <t>ok</t>
        </is>
      </c>
      <c r="Y101" s="19" t="n">
        <v>0.0027</v>
      </c>
      <c r="Z101" s="6" t="inlineStr">
        <is>
          <t>ok</t>
        </is>
      </c>
      <c r="AA101" s="12" t="n">
        <v>100</v>
      </c>
      <c r="AB101" s="15" t="n"/>
      <c r="AC101" s="6" t="inlineStr">
        <is>
          <t>watch</t>
        </is>
      </c>
      <c r="AD101" s="6" t="inlineStr">
        <is>
          <t>flat</t>
        </is>
      </c>
      <c r="AE101" s="17" t="n">
        <v>1372.57</v>
      </c>
      <c r="AF101" s="17" t="n">
        <v>1314.0104</v>
      </c>
      <c r="AG101" s="17" t="n">
        <v>1431.1296</v>
      </c>
      <c r="AH101" s="20" t="n">
        <v>46331</v>
      </c>
      <c r="AI101" s="18" t="n">
        <v>0.5</v>
      </c>
      <c r="AJ101" s="6" t="inlineStr">
        <is>
          <t>alert</t>
        </is>
      </c>
      <c r="AK101" s="12" t="n">
        <v>10</v>
      </c>
      <c r="AL101" s="15" t="inlineStr">
        <is>
          <t>Eli Lilly Q3 2026 Earnings Call Transcript</t>
        </is>
      </c>
      <c r="AM101" s="17" t="n">
        <v>1372.57</v>
      </c>
      <c r="AN101" s="19" t="n">
        <v>0.0635</v>
      </c>
      <c r="AO101" s="17" t="n">
        <v>99412.24000000001</v>
      </c>
      <c r="AP101" s="17" t="n">
        <v>3.37</v>
      </c>
      <c r="AQ101" s="19" t="n">
        <v>0.0833</v>
      </c>
      <c r="AR101" s="16" t="n">
        <v>6.035195373</v>
      </c>
      <c r="AS101" s="17" t="n">
        <v>1382.881495</v>
      </c>
      <c r="AT101" s="19" t="n">
        <v>-0.008500000000000001</v>
      </c>
      <c r="AU101" s="6" t="inlineStr">
        <is>
          <t>paper</t>
        </is>
      </c>
      <c r="AV101" s="6" t="inlineStr">
        <is>
          <t>5d4ca2e7-bc86-484f-9f55-e93b264f00d5</t>
        </is>
      </c>
      <c r="AW101" s="6" t="inlineStr">
        <is>
          <t>tdagent-sell-LLY-1793287603579</t>
        </is>
      </c>
      <c r="AX101" s="13" t="n">
        <v>46324.64355324074</v>
      </c>
      <c r="AY101" s="13" t="n">
        <v>46324.64356481482</v>
      </c>
      <c r="AZ101" s="13" t="n">
        <v>46324.64244212963</v>
      </c>
      <c r="BA101" s="6" t="n"/>
    </row>
    <row r="102">
      <c r="A102" s="12" t="n">
        <v>101</v>
      </c>
      <c r="B102" s="13" t="n">
        <v>46324.68523148148</v>
      </c>
      <c r="C102" s="13" t="n">
        <v>46324.47689814815</v>
      </c>
      <c r="D102" s="13" t="n">
        <v>46324.64356481482</v>
      </c>
      <c r="E102" s="21" t="inlineStr">
        <is>
          <t>SELL</t>
        </is>
      </c>
      <c r="F102" s="6" t="inlineStr">
        <is>
          <t>WTW</t>
        </is>
      </c>
      <c r="G102" s="15" t="inlineStr">
        <is>
          <t>WTW</t>
        </is>
      </c>
      <c r="H102" s="6" t="inlineStr">
        <is>
          <t>NASDAQ</t>
        </is>
      </c>
      <c r="I102" s="6" t="inlineStr">
        <is>
          <t>filled</t>
        </is>
      </c>
      <c r="J102" s="16" t="n">
        <v>26.078334421</v>
      </c>
      <c r="K102" s="17" t="n">
        <v>313.76</v>
      </c>
      <c r="L102" s="17">
        <f>IF(AND(ISNUMBER(J102),ISNUMBER(K102)),J102*K102,"")</f>
        <v/>
      </c>
      <c r="M102" s="17" t="n"/>
      <c r="N102" s="16" t="n">
        <v>26.078334421</v>
      </c>
      <c r="O102" s="6" t="inlineStr">
        <is>
          <t>trailing stop</t>
        </is>
      </c>
      <c r="P102" s="15" t="inlineStr">
        <is>
          <t>High risk sell line (1%): highest $325.01, fell 3.4% to $314.04 (line $321.76), -1.9% from the buy price</t>
        </is>
      </c>
      <c r="Q102" s="12" t="n">
        <v>4</v>
      </c>
      <c r="R102" s="6" t="inlineStr">
        <is>
          <t>ok</t>
        </is>
      </c>
      <c r="S102" s="18" t="n">
        <v>0.621</v>
      </c>
      <c r="T102" s="12" t="n">
        <v>29</v>
      </c>
      <c r="U102" s="19" t="n">
        <v>0.0212</v>
      </c>
      <c r="V102" s="19" t="n">
        <v>0.2893</v>
      </c>
      <c r="W102" s="12" t="n"/>
      <c r="X102" s="6" t="inlineStr">
        <is>
          <t>ok</t>
        </is>
      </c>
      <c r="Y102" s="19" t="n">
        <v>0.0001</v>
      </c>
      <c r="Z102" s="6" t="inlineStr">
        <is>
          <t>ok</t>
        </is>
      </c>
      <c r="AA102" s="12" t="n">
        <v>100</v>
      </c>
      <c r="AB102" s="15" t="n"/>
      <c r="AC102" s="6" t="inlineStr">
        <is>
          <t>ok</t>
        </is>
      </c>
      <c r="AD102" s="6" t="inlineStr">
        <is>
          <t>up</t>
        </is>
      </c>
      <c r="AE102" s="17" t="n">
        <v>318.7003</v>
      </c>
      <c r="AF102" s="17" t="n">
        <v>307.3995</v>
      </c>
      <c r="AG102" s="17" t="n">
        <v>330.0012</v>
      </c>
      <c r="AH102" s="20" t="n">
        <v>46331</v>
      </c>
      <c r="AI102" s="18" t="n">
        <v>0.53</v>
      </c>
      <c r="AJ102" s="6" t="inlineStr">
        <is>
          <t>watch</t>
        </is>
      </c>
      <c r="AK102" s="12" t="n">
        <v>5</v>
      </c>
      <c r="AL102" s="15" t="inlineStr">
        <is>
          <t>Willis Towers Watson Q3 2026 Earnings Call Transcript</t>
        </is>
      </c>
      <c r="AM102" s="17" t="n">
        <v>314.18</v>
      </c>
      <c r="AN102" s="19" t="n">
        <v>-0.0232</v>
      </c>
      <c r="AO102" s="17" t="n">
        <v>99412.24000000001</v>
      </c>
      <c r="AP102" s="17" t="n">
        <v>3.37</v>
      </c>
      <c r="AQ102" s="19" t="n">
        <v>0.0833</v>
      </c>
      <c r="AR102" s="16" t="n">
        <v>26.078334421</v>
      </c>
      <c r="AS102" s="17" t="n">
        <v>320.034243</v>
      </c>
      <c r="AT102" s="19" t="n">
        <v>-0.0187</v>
      </c>
      <c r="AU102" s="6" t="inlineStr">
        <is>
          <t>paper</t>
        </is>
      </c>
      <c r="AV102" s="6" t="inlineStr">
        <is>
          <t>7f4b08a7-ccda-4caa-ad4f-79824ad160e8</t>
        </is>
      </c>
      <c r="AW102" s="6" t="inlineStr">
        <is>
          <t>tdagent-sell-WTW-1793287604105</t>
        </is>
      </c>
      <c r="AX102" s="13" t="n">
        <v>46324.64356481482</v>
      </c>
      <c r="AY102" s="13" t="n">
        <v>46324.64356481482</v>
      </c>
      <c r="AZ102" s="13" t="n">
        <v>46324.64244212963</v>
      </c>
      <c r="BA102" s="6" t="n"/>
    </row>
  </sheetData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66"/>
  <sheetViews>
    <sheetView showGridLines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8" customWidth="1" min="2" max="2"/>
    <col width="17" customWidth="1" min="3" max="3"/>
    <col width="17" customWidth="1" min="4" max="4"/>
    <col width="12" customWidth="1" min="5" max="5"/>
    <col width="12" customWidth="1" min="6" max="6"/>
    <col width="12" customWidth="1" min="7" max="7"/>
    <col width="17" customWidth="1" min="8" max="8"/>
    <col width="17" customWidth="1" min="9" max="9"/>
    <col width="12" customWidth="1" min="10" max="10"/>
    <col width="12" customWidth="1" min="11" max="11"/>
    <col width="12" customWidth="1" min="12" max="12"/>
    <col width="10" customWidth="1" min="13" max="13"/>
    <col width="10" customWidth="1" min="14" max="14"/>
    <col width="20" customWidth="1" min="15" max="15"/>
    <col width="9" customWidth="1" min="16" max="16"/>
  </cols>
  <sheetData>
    <row r="1" ht="30" customHeight="1">
      <c r="A1" s="5" t="inlineStr">
        <is>
          <t>Symbol</t>
        </is>
      </c>
      <c r="B1" s="5" t="inlineStr">
        <is>
          <t>Company</t>
        </is>
      </c>
      <c r="C1" s="5" t="inlineStr">
        <is>
          <t>Bought (Berlin)</t>
        </is>
      </c>
      <c r="D1" s="5" t="inlineStr">
        <is>
          <t>Bought (New York)</t>
        </is>
      </c>
      <c r="E1" s="5" t="inlineStr">
        <is>
          <t>Buy price $</t>
        </is>
      </c>
      <c r="F1" s="5" t="inlineStr">
        <is>
          <t>Qty</t>
        </is>
      </c>
      <c r="G1" s="5" t="inlineStr">
        <is>
          <t>Cost $</t>
        </is>
      </c>
      <c r="H1" s="5" t="inlineStr">
        <is>
          <t>Sold (Berlin)</t>
        </is>
      </c>
      <c r="I1" s="5" t="inlineStr">
        <is>
          <t>Sold (New York)</t>
        </is>
      </c>
      <c r="J1" s="5" t="inlineStr">
        <is>
          <t>Sell price $</t>
        </is>
      </c>
      <c r="K1" s="5" t="inlineStr">
        <is>
          <t>Proceeds $</t>
        </is>
      </c>
      <c r="L1" s="5" t="inlineStr">
        <is>
          <t>P/L $</t>
        </is>
      </c>
      <c r="M1" s="5" t="inlineStr">
        <is>
          <t>P/L %</t>
        </is>
      </c>
      <c r="N1" s="5" t="inlineStr">
        <is>
          <t>Days held</t>
        </is>
      </c>
      <c r="O1" s="5" t="inlineStr">
        <is>
          <t>Exit rule</t>
        </is>
      </c>
      <c r="P1" s="5" t="inlineStr">
        <is>
          <t>Status</t>
        </is>
      </c>
    </row>
    <row r="2">
      <c r="A2" s="6" t="inlineStr">
        <is>
          <t>TMO</t>
        </is>
      </c>
      <c r="B2" s="6" t="inlineStr">
        <is>
          <t>Thermo Fisher Scientific, Inc.</t>
        </is>
      </c>
      <c r="C2" s="22" t="n">
        <v>46322.71633101852</v>
      </c>
      <c r="D2" s="22" t="n">
        <v>46322.50799768518</v>
      </c>
      <c r="E2" s="17" t="n">
        <v>694.9299999999999</v>
      </c>
      <c r="F2" s="16" t="n">
        <v>11.986804426</v>
      </c>
      <c r="G2" s="17">
        <f>E2*F2</f>
        <v/>
      </c>
      <c r="H2" s="22" t="n">
        <v>46322.86784722222</v>
      </c>
      <c r="I2" s="22" t="n">
        <v>46322.65951388889</v>
      </c>
      <c r="J2" s="17" t="n">
        <v>699.1666739999999</v>
      </c>
      <c r="K2" s="17">
        <f>IF(ISNUMBER(J2),J2*F2,"")</f>
        <v/>
      </c>
      <c r="L2" s="23">
        <f>IF(ISNUMBER(J2),K2-G2,"")</f>
        <v/>
      </c>
      <c r="M2" s="24">
        <f>IF(ISNUMBER(J2),L2/G2,"")</f>
        <v/>
      </c>
      <c r="N2" s="25">
        <f>IF(ISNUMBER(H2),H2-C2,"")</f>
        <v/>
      </c>
      <c r="O2" s="6" t="inlineStr">
        <is>
          <t>evening under 5%</t>
        </is>
      </c>
      <c r="P2" s="6" t="inlineStr">
        <is>
          <t>Closed</t>
        </is>
      </c>
    </row>
    <row r="3">
      <c r="A3" s="6" t="inlineStr">
        <is>
          <t>SHEL</t>
        </is>
      </c>
      <c r="B3" s="6" t="inlineStr">
        <is>
          <t>Shell plc American Depositary Shares (Each represents two Ordinary shares)</t>
        </is>
      </c>
      <c r="C3" s="22" t="n">
        <v>46322.79560185185</v>
      </c>
      <c r="D3" s="22" t="n">
        <v>46322.58726851852</v>
      </c>
      <c r="E3" s="17" t="n">
        <v>104.93</v>
      </c>
      <c r="F3" s="16" t="n">
        <v>79.41675402600001</v>
      </c>
      <c r="G3" s="17">
        <f>E3*F3</f>
        <v/>
      </c>
      <c r="H3" s="22" t="n">
        <v>46322.8678125</v>
      </c>
      <c r="I3" s="22" t="n">
        <v>46322.65947916666</v>
      </c>
      <c r="J3" s="17" t="n">
        <v>104.96</v>
      </c>
      <c r="K3" s="17">
        <f>IF(ISNUMBER(J3),J3*F3,"")</f>
        <v/>
      </c>
      <c r="L3" s="23">
        <f>IF(ISNUMBER(J3),K3-G3,"")</f>
        <v/>
      </c>
      <c r="M3" s="24">
        <f>IF(ISNUMBER(J3),L3/G3,"")</f>
        <v/>
      </c>
      <c r="N3" s="25">
        <f>IF(ISNUMBER(H3),H3-C3,"")</f>
        <v/>
      </c>
      <c r="O3" s="6" t="inlineStr">
        <is>
          <t>evening under 5%</t>
        </is>
      </c>
      <c r="P3" s="6" t="inlineStr">
        <is>
          <t>Closed</t>
        </is>
      </c>
    </row>
    <row r="4">
      <c r="A4" s="6" t="inlineStr">
        <is>
          <t>SHEL</t>
        </is>
      </c>
      <c r="B4" s="6" t="inlineStr">
        <is>
          <t>Shell plc American Depositary Shares (Each represents two Ordinary shares)</t>
        </is>
      </c>
      <c r="C4" s="22" t="n">
        <v>46323.6061574074</v>
      </c>
      <c r="D4" s="22" t="n">
        <v>46323.39782407408</v>
      </c>
      <c r="E4" s="17" t="n">
        <v>105</v>
      </c>
      <c r="F4" s="16" t="n">
        <v>79.375047619</v>
      </c>
      <c r="G4" s="17">
        <f>E4*F4</f>
        <v/>
      </c>
      <c r="H4" s="22" t="n">
        <v>46323.85476851852</v>
      </c>
      <c r="I4" s="22" t="n">
        <v>46323.64643518518</v>
      </c>
      <c r="J4" s="17" t="n">
        <v>105.486426</v>
      </c>
      <c r="K4" s="17">
        <f>IF(ISNUMBER(J4),J4*F4,"")</f>
        <v/>
      </c>
      <c r="L4" s="23">
        <f>IF(ISNUMBER(J4),K4-G4,"")</f>
        <v/>
      </c>
      <c r="M4" s="24">
        <f>IF(ISNUMBER(J4),L4/G4,"")</f>
        <v/>
      </c>
      <c r="N4" s="25">
        <f>IF(ISNUMBER(H4),H4-C4,"")</f>
        <v/>
      </c>
      <c r="O4" s="6" t="inlineStr">
        <is>
          <t>evening under 5% (watchdog)</t>
        </is>
      </c>
      <c r="P4" s="6" t="inlineStr">
        <is>
          <t>Closed</t>
        </is>
      </c>
    </row>
    <row r="5">
      <c r="A5" s="6" t="inlineStr">
        <is>
          <t>UTHR</t>
        </is>
      </c>
      <c r="B5" s="6" t="inlineStr">
        <is>
          <t>United Therapeutics Corporation Common Stock</t>
        </is>
      </c>
      <c r="C5" s="22" t="n">
        <v>46323.60626157407</v>
      </c>
      <c r="D5" s="22" t="n">
        <v>46323.39792824074</v>
      </c>
      <c r="E5" s="17" t="n">
        <v>585.96</v>
      </c>
      <c r="F5" s="16" t="n">
        <v>7.111731176</v>
      </c>
      <c r="G5" s="17">
        <f>E5*F5</f>
        <v/>
      </c>
      <c r="H5" s="22" t="n">
        <v>46323.66149305556</v>
      </c>
      <c r="I5" s="22" t="n">
        <v>46323.45315972222</v>
      </c>
      <c r="J5" s="17" t="n">
        <v>588.24</v>
      </c>
      <c r="K5" s="17">
        <f>IF(ISNUMBER(J5),J5*F5,"")</f>
        <v/>
      </c>
      <c r="L5" s="23">
        <f>IF(ISNUMBER(J5),K5-G5,"")</f>
        <v/>
      </c>
      <c r="M5" s="24">
        <f>IF(ISNUMBER(J5),L5/G5,"")</f>
        <v/>
      </c>
      <c r="N5" s="25">
        <f>IF(ISNUMBER(H5),H5-C5,"")</f>
        <v/>
      </c>
      <c r="O5" s="6" t="inlineStr">
        <is>
          <t>3 green: sell half</t>
        </is>
      </c>
      <c r="P5" s="6" t="inlineStr">
        <is>
          <t>Closed</t>
        </is>
      </c>
    </row>
    <row r="6">
      <c r="A6" s="6" t="inlineStr">
        <is>
          <t>UTHR</t>
        </is>
      </c>
      <c r="B6" s="6" t="inlineStr">
        <is>
          <t>United Therapeutics Corporation Common Stock</t>
        </is>
      </c>
      <c r="C6" s="22" t="n">
        <v>46323.60626157407</v>
      </c>
      <c r="D6" s="22" t="n">
        <v>46323.39792824074</v>
      </c>
      <c r="E6" s="17" t="n">
        <v>585.96</v>
      </c>
      <c r="F6" s="16" t="n">
        <v>7.111731176</v>
      </c>
      <c r="G6" s="17">
        <f>E6*F6</f>
        <v/>
      </c>
      <c r="H6" s="22" t="n">
        <v>46323.8547800926</v>
      </c>
      <c r="I6" s="22" t="n">
        <v>46323.64644675926</v>
      </c>
      <c r="J6" s="17" t="n">
        <v>584.76</v>
      </c>
      <c r="K6" s="17">
        <f>IF(ISNUMBER(J6),J6*F6,"")</f>
        <v/>
      </c>
      <c r="L6" s="23">
        <f>IF(ISNUMBER(J6),K6-G6,"")</f>
        <v/>
      </c>
      <c r="M6" s="24">
        <f>IF(ISNUMBER(J6),L6/G6,"")</f>
        <v/>
      </c>
      <c r="N6" s="25">
        <f>IF(ISNUMBER(H6),H6-C6,"")</f>
        <v/>
      </c>
      <c r="O6" s="6" t="inlineStr">
        <is>
          <t>evening under 5% (watchdog)</t>
        </is>
      </c>
      <c r="P6" s="6" t="inlineStr">
        <is>
          <t>Closed</t>
        </is>
      </c>
    </row>
    <row r="7">
      <c r="A7" s="6" t="inlineStr">
        <is>
          <t>ILMN</t>
        </is>
      </c>
      <c r="B7" s="6" t="inlineStr">
        <is>
          <t>Illumina, Inc. Common Stock</t>
        </is>
      </c>
      <c r="C7" s="22" t="n">
        <v>46323.60633101852</v>
      </c>
      <c r="D7" s="22" t="n">
        <v>46323.39799768518</v>
      </c>
      <c r="E7" s="17" t="n">
        <v>281</v>
      </c>
      <c r="F7" s="16" t="n">
        <v>29.659715302</v>
      </c>
      <c r="G7" s="17">
        <f>E7*F7</f>
        <v/>
      </c>
      <c r="H7" s="22" t="n">
        <v>46323.85449074074</v>
      </c>
      <c r="I7" s="22" t="n">
        <v>46323.64615740741</v>
      </c>
      <c r="J7" s="17" t="n">
        <v>288.51</v>
      </c>
      <c r="K7" s="17">
        <f>IF(ISNUMBER(J7),J7*F7,"")</f>
        <v/>
      </c>
      <c r="L7" s="23">
        <f>IF(ISNUMBER(J7),K7-G7,"")</f>
        <v/>
      </c>
      <c r="M7" s="24">
        <f>IF(ISNUMBER(J7),L7/G7,"")</f>
        <v/>
      </c>
      <c r="N7" s="25">
        <f>IF(ISNUMBER(H7),H7-C7,"")</f>
        <v/>
      </c>
      <c r="O7" s="6" t="inlineStr">
        <is>
          <t>evening under 5% (watchdog)</t>
        </is>
      </c>
      <c r="P7" s="6" t="inlineStr">
        <is>
          <t>Closed</t>
        </is>
      </c>
    </row>
    <row r="8">
      <c r="A8" s="6" t="inlineStr">
        <is>
          <t>EBAY</t>
        </is>
      </c>
      <c r="B8" s="6" t="inlineStr">
        <is>
          <t>eBay Inc. Common Stock</t>
        </is>
      </c>
      <c r="C8" s="22" t="n">
        <v>46323.60640046297</v>
      </c>
      <c r="D8" s="22" t="n">
        <v>46323.39806712963</v>
      </c>
      <c r="E8" s="17" t="n">
        <v>118.837319</v>
      </c>
      <c r="F8" s="16" t="n">
        <v>70.13268309</v>
      </c>
      <c r="G8" s="17">
        <f>E8*F8</f>
        <v/>
      </c>
      <c r="H8" s="22" t="n">
        <v>46323.85445601852</v>
      </c>
      <c r="I8" s="22" t="n">
        <v>46323.64612268518</v>
      </c>
      <c r="J8" s="17" t="n">
        <v>117.477719</v>
      </c>
      <c r="K8" s="17">
        <f>IF(ISNUMBER(J8),J8*F8,"")</f>
        <v/>
      </c>
      <c r="L8" s="23">
        <f>IF(ISNUMBER(J8),K8-G8,"")</f>
        <v/>
      </c>
      <c r="M8" s="24">
        <f>IF(ISNUMBER(J8),L8/G8,"")</f>
        <v/>
      </c>
      <c r="N8" s="25">
        <f>IF(ISNUMBER(H8),H8-C8,"")</f>
        <v/>
      </c>
      <c r="O8" s="6" t="inlineStr">
        <is>
          <t>evening under 5% (watchdog)</t>
        </is>
      </c>
      <c r="P8" s="6" t="inlineStr">
        <is>
          <t>Closed</t>
        </is>
      </c>
    </row>
    <row r="9">
      <c r="A9" s="6" t="inlineStr">
        <is>
          <t>DT</t>
        </is>
      </c>
      <c r="B9" s="6" t="inlineStr">
        <is>
          <t>Dynatrace, Inc.</t>
        </is>
      </c>
      <c r="C9" s="22" t="n">
        <v>46323.60652777777</v>
      </c>
      <c r="D9" s="22" t="n">
        <v>46323.39819444445</v>
      </c>
      <c r="E9" s="17" t="n">
        <v>63.965309</v>
      </c>
      <c r="F9" s="16" t="n">
        <v>130.2953125</v>
      </c>
      <c r="G9" s="17">
        <f>E9*F9</f>
        <v/>
      </c>
      <c r="H9" s="22" t="n">
        <v>46323.85445601852</v>
      </c>
      <c r="I9" s="22" t="n">
        <v>46323.64612268518</v>
      </c>
      <c r="J9" s="17" t="n">
        <v>62.591634</v>
      </c>
      <c r="K9" s="17">
        <f>IF(ISNUMBER(J9),J9*F9,"")</f>
        <v/>
      </c>
      <c r="L9" s="23">
        <f>IF(ISNUMBER(J9),K9-G9,"")</f>
        <v/>
      </c>
      <c r="M9" s="24">
        <f>IF(ISNUMBER(J9),L9/G9,"")</f>
        <v/>
      </c>
      <c r="N9" s="25">
        <f>IF(ISNUMBER(H9),H9-C9,"")</f>
        <v/>
      </c>
      <c r="O9" s="6" t="inlineStr">
        <is>
          <t>evening under 5% (watchdog)</t>
        </is>
      </c>
      <c r="P9" s="6" t="inlineStr">
        <is>
          <t>Closed</t>
        </is>
      </c>
    </row>
    <row r="10">
      <c r="A10" s="6" t="inlineStr">
        <is>
          <t>MCK</t>
        </is>
      </c>
      <c r="B10" s="6" t="inlineStr">
        <is>
          <t>McKesson Corporation</t>
        </is>
      </c>
      <c r="C10" s="22" t="n">
        <v>46323.60681712963</v>
      </c>
      <c r="D10" s="22" t="n">
        <v>46323.3984837963</v>
      </c>
      <c r="E10" s="17" t="n">
        <v>966.85025</v>
      </c>
      <c r="F10" s="16" t="n">
        <v>8.620135337000001</v>
      </c>
      <c r="G10" s="17">
        <f>E10*F10</f>
        <v/>
      </c>
      <c r="H10" s="22" t="n">
        <v>46323.85459490741</v>
      </c>
      <c r="I10" s="22" t="n">
        <v>46323.64626157407</v>
      </c>
      <c r="J10" s="17" t="n">
        <v>959.34</v>
      </c>
      <c r="K10" s="17">
        <f>IF(ISNUMBER(J10),J10*F10,"")</f>
        <v/>
      </c>
      <c r="L10" s="23">
        <f>IF(ISNUMBER(J10),K10-G10,"")</f>
        <v/>
      </c>
      <c r="M10" s="24">
        <f>IF(ISNUMBER(J10),L10/G10,"")</f>
        <v/>
      </c>
      <c r="N10" s="25">
        <f>IF(ISNUMBER(H10),H10-C10,"")</f>
        <v/>
      </c>
      <c r="O10" s="6" t="inlineStr">
        <is>
          <t>evening under 5% (watchdog)</t>
        </is>
      </c>
      <c r="P10" s="6" t="inlineStr">
        <is>
          <t>Closed</t>
        </is>
      </c>
    </row>
    <row r="11">
      <c r="A11" s="6" t="inlineStr">
        <is>
          <t>TMO</t>
        </is>
      </c>
      <c r="B11" s="6" t="inlineStr">
        <is>
          <t>Thermo Fisher Scientific, Inc.</t>
        </is>
      </c>
      <c r="C11" s="22" t="n">
        <v>46323.60681712963</v>
      </c>
      <c r="D11" s="22" t="n">
        <v>46323.3984837963</v>
      </c>
      <c r="E11" s="17" t="n">
        <v>698.193445</v>
      </c>
      <c r="F11" s="16" t="n">
        <v>11.937064238</v>
      </c>
      <c r="G11" s="17">
        <f>E11*F11</f>
        <v/>
      </c>
      <c r="H11" s="22" t="n">
        <v>46323.85476851852</v>
      </c>
      <c r="I11" s="22" t="n">
        <v>46323.64643518518</v>
      </c>
      <c r="J11" s="17" t="n">
        <v>705.6</v>
      </c>
      <c r="K11" s="17">
        <f>IF(ISNUMBER(J11),J11*F11,"")</f>
        <v/>
      </c>
      <c r="L11" s="23">
        <f>IF(ISNUMBER(J11),K11-G11,"")</f>
        <v/>
      </c>
      <c r="M11" s="24">
        <f>IF(ISNUMBER(J11),L11/G11,"")</f>
        <v/>
      </c>
      <c r="N11" s="25">
        <f>IF(ISNUMBER(H11),H11-C11,"")</f>
        <v/>
      </c>
      <c r="O11" s="6" t="inlineStr">
        <is>
          <t>evening under 5% (watchdog)</t>
        </is>
      </c>
      <c r="P11" s="6" t="inlineStr">
        <is>
          <t>Closed</t>
        </is>
      </c>
    </row>
    <row r="12">
      <c r="A12" s="6" t="inlineStr">
        <is>
          <t>CBOE</t>
        </is>
      </c>
      <c r="B12" s="6" t="inlineStr">
        <is>
          <t>Cboe Global Markets, Inc.</t>
        </is>
      </c>
      <c r="C12" s="22" t="n">
        <v>46323.60716435185</v>
      </c>
      <c r="D12" s="22" t="n">
        <v>46323.39883101852</v>
      </c>
      <c r="E12" s="17" t="n">
        <v>322.603871</v>
      </c>
      <c r="F12" s="16" t="n">
        <v>25.834717916</v>
      </c>
      <c r="G12" s="17">
        <f>E12*F12</f>
        <v/>
      </c>
      <c r="H12" s="22" t="n">
        <v>46323.85439814815</v>
      </c>
      <c r="I12" s="22" t="n">
        <v>46323.64606481481</v>
      </c>
      <c r="J12" s="17" t="n">
        <v>322.32659</v>
      </c>
      <c r="K12" s="17">
        <f>IF(ISNUMBER(J12),J12*F12,"")</f>
        <v/>
      </c>
      <c r="L12" s="23">
        <f>IF(ISNUMBER(J12),K12-G12,"")</f>
        <v/>
      </c>
      <c r="M12" s="24">
        <f>IF(ISNUMBER(J12),L12/G12,"")</f>
        <v/>
      </c>
      <c r="N12" s="25">
        <f>IF(ISNUMBER(H12),H12-C12,"")</f>
        <v/>
      </c>
      <c r="O12" s="6" t="inlineStr">
        <is>
          <t>evening under 5% (watchdog)</t>
        </is>
      </c>
      <c r="P12" s="6" t="inlineStr">
        <is>
          <t>Closed</t>
        </is>
      </c>
    </row>
    <row r="13">
      <c r="A13" s="6" t="inlineStr">
        <is>
          <t>OXY</t>
        </is>
      </c>
      <c r="B13" s="6" t="inlineStr">
        <is>
          <t>Occidental Petroleum Corporation</t>
        </is>
      </c>
      <c r="C13" s="22" t="n">
        <v>46323.60721064815</v>
      </c>
      <c r="D13" s="22" t="n">
        <v>46323.39887731482</v>
      </c>
      <c r="E13" s="17" t="n">
        <v>62.998354</v>
      </c>
      <c r="F13" s="16" t="n">
        <v>132.295201779</v>
      </c>
      <c r="G13" s="17">
        <f>E13*F13</f>
        <v/>
      </c>
      <c r="H13" s="22" t="n">
        <v>46323.85467592593</v>
      </c>
      <c r="I13" s="22" t="n">
        <v>46323.64634259259</v>
      </c>
      <c r="J13" s="17" t="n">
        <v>63.186349</v>
      </c>
      <c r="K13" s="17">
        <f>IF(ISNUMBER(J13),J13*F13,"")</f>
        <v/>
      </c>
      <c r="L13" s="23">
        <f>IF(ISNUMBER(J13),K13-G13,"")</f>
        <v/>
      </c>
      <c r="M13" s="24">
        <f>IF(ISNUMBER(J13),L13/G13,"")</f>
        <v/>
      </c>
      <c r="N13" s="25">
        <f>IF(ISNUMBER(H13),H13-C13,"")</f>
        <v/>
      </c>
      <c r="O13" s="6" t="inlineStr">
        <is>
          <t>evening under 5% (watchdog)</t>
        </is>
      </c>
      <c r="P13" s="6" t="inlineStr">
        <is>
          <t>Closed</t>
        </is>
      </c>
    </row>
    <row r="14">
      <c r="A14" s="6" t="inlineStr">
        <is>
          <t>IQV</t>
        </is>
      </c>
      <c r="B14" s="6" t="inlineStr">
        <is>
          <t>IQVIA Holdings Inc.</t>
        </is>
      </c>
      <c r="C14" s="22" t="n">
        <v>46323.60728009259</v>
      </c>
      <c r="D14" s="22" t="n">
        <v>46323.39894675926</v>
      </c>
      <c r="E14" s="17" t="n">
        <v>274.520617</v>
      </c>
      <c r="F14" s="16" t="n">
        <v>15.179879934</v>
      </c>
      <c r="G14" s="17">
        <f>E14*F14</f>
        <v/>
      </c>
      <c r="H14" s="22" t="n">
        <v>46323.60892361111</v>
      </c>
      <c r="I14" s="22" t="n">
        <v>46323.40059027778</v>
      </c>
      <c r="J14" s="17" t="n">
        <v>273.44</v>
      </c>
      <c r="K14" s="17">
        <f>IF(ISNUMBER(J14),J14*F14,"")</f>
        <v/>
      </c>
      <c r="L14" s="23">
        <f>IF(ISNUMBER(J14),K14-G14,"")</f>
        <v/>
      </c>
      <c r="M14" s="24">
        <f>IF(ISNUMBER(J14),L14/G14,"")</f>
        <v/>
      </c>
      <c r="N14" s="25">
        <f>IF(ISNUMBER(H14),H14-C14,"")</f>
        <v/>
      </c>
      <c r="O14" s="6" t="inlineStr">
        <is>
          <t>3 green: sell half</t>
        </is>
      </c>
      <c r="P14" s="6" t="inlineStr">
        <is>
          <t>Closed</t>
        </is>
      </c>
    </row>
    <row r="15">
      <c r="A15" s="6" t="inlineStr">
        <is>
          <t>IQV</t>
        </is>
      </c>
      <c r="B15" s="6" t="inlineStr">
        <is>
          <t>IQVIA Holdings Inc.</t>
        </is>
      </c>
      <c r="C15" s="22" t="n">
        <v>46323.60728009259</v>
      </c>
      <c r="D15" s="22" t="n">
        <v>46323.39894675926</v>
      </c>
      <c r="E15" s="17" t="n">
        <v>274.520617</v>
      </c>
      <c r="F15" s="16" t="n">
        <v>15.179879935</v>
      </c>
      <c r="G15" s="17">
        <f>E15*F15</f>
        <v/>
      </c>
      <c r="H15" s="22" t="n">
        <v>46323.85454861111</v>
      </c>
      <c r="I15" s="22" t="n">
        <v>46323.64621527777</v>
      </c>
      <c r="J15" s="17" t="n">
        <v>276.99</v>
      </c>
      <c r="K15" s="17">
        <f>IF(ISNUMBER(J15),J15*F15,"")</f>
        <v/>
      </c>
      <c r="L15" s="23">
        <f>IF(ISNUMBER(J15),K15-G15,"")</f>
        <v/>
      </c>
      <c r="M15" s="24">
        <f>IF(ISNUMBER(J15),L15/G15,"")</f>
        <v/>
      </c>
      <c r="N15" s="25">
        <f>IF(ISNUMBER(H15),H15-C15,"")</f>
        <v/>
      </c>
      <c r="O15" s="6" t="inlineStr">
        <is>
          <t>evening under 5% (watchdog)</t>
        </is>
      </c>
      <c r="P15" s="6" t="inlineStr">
        <is>
          <t>Closed</t>
        </is>
      </c>
    </row>
    <row r="16">
      <c r="A16" s="6" t="inlineStr">
        <is>
          <t>MNST</t>
        </is>
      </c>
      <c r="B16" s="6" t="inlineStr">
        <is>
          <t>Monster Beverage Corporation</t>
        </is>
      </c>
      <c r="C16" s="22" t="n">
        <v>46323.60728009259</v>
      </c>
      <c r="D16" s="22" t="n">
        <v>46323.39894675926</v>
      </c>
      <c r="E16" s="17" t="n">
        <v>45.162906</v>
      </c>
      <c r="F16" s="16" t="n">
        <v>184.54038504</v>
      </c>
      <c r="G16" s="17">
        <f>E16*F16</f>
        <v/>
      </c>
      <c r="H16" s="22" t="n">
        <v>46323.8546412037</v>
      </c>
      <c r="I16" s="22" t="n">
        <v>46323.64630787037</v>
      </c>
      <c r="J16" s="17" t="n">
        <v>45.67</v>
      </c>
      <c r="K16" s="17">
        <f>IF(ISNUMBER(J16),J16*F16,"")</f>
        <v/>
      </c>
      <c r="L16" s="23">
        <f>IF(ISNUMBER(J16),K16-G16,"")</f>
        <v/>
      </c>
      <c r="M16" s="24">
        <f>IF(ISNUMBER(J16),L16/G16,"")</f>
        <v/>
      </c>
      <c r="N16" s="25">
        <f>IF(ISNUMBER(H16),H16-C16,"")</f>
        <v/>
      </c>
      <c r="O16" s="6" t="inlineStr">
        <is>
          <t>evening under 5% (watchdog)</t>
        </is>
      </c>
      <c r="P16" s="6" t="inlineStr">
        <is>
          <t>Closed</t>
        </is>
      </c>
    </row>
    <row r="17">
      <c r="A17" s="6" t="inlineStr">
        <is>
          <t>PBR.A</t>
        </is>
      </c>
      <c r="B17" s="6" t="inlineStr">
        <is>
          <t>Petroleo Brasileiro S.A.-Petrobras</t>
        </is>
      </c>
      <c r="C17" s="22" t="n">
        <v>46323.60732638889</v>
      </c>
      <c r="D17" s="22" t="n">
        <v>46323.39899305555</v>
      </c>
      <c r="E17" s="17" t="n">
        <v>19.69562</v>
      </c>
      <c r="F17" s="16" t="n">
        <v>211.579533941</v>
      </c>
      <c r="G17" s="17">
        <f>E17*F17</f>
        <v/>
      </c>
      <c r="H17" s="22" t="n">
        <v>46323.60894675926</v>
      </c>
      <c r="I17" s="22" t="n">
        <v>46323.40061342593</v>
      </c>
      <c r="J17" s="17" t="n">
        <v>19.755625</v>
      </c>
      <c r="K17" s="17">
        <f>IF(ISNUMBER(J17),J17*F17,"")</f>
        <v/>
      </c>
      <c r="L17" s="23">
        <f>IF(ISNUMBER(J17),K17-G17,"")</f>
        <v/>
      </c>
      <c r="M17" s="24">
        <f>IF(ISNUMBER(J17),L17/G17,"")</f>
        <v/>
      </c>
      <c r="N17" s="25">
        <f>IF(ISNUMBER(H17),H17-C17,"")</f>
        <v/>
      </c>
      <c r="O17" s="6" t="inlineStr">
        <is>
          <t>3 green: sell half</t>
        </is>
      </c>
      <c r="P17" s="6" t="inlineStr">
        <is>
          <t>Closed</t>
        </is>
      </c>
    </row>
    <row r="18">
      <c r="A18" s="6" t="inlineStr">
        <is>
          <t>PBR.A</t>
        </is>
      </c>
      <c r="B18" s="6" t="inlineStr">
        <is>
          <t>Petroleo Brasileiro S.A.-Petrobras</t>
        </is>
      </c>
      <c r="C18" s="22" t="n">
        <v>46323.60732638889</v>
      </c>
      <c r="D18" s="22" t="n">
        <v>46323.39899305555</v>
      </c>
      <c r="E18" s="17" t="n">
        <v>19.69562</v>
      </c>
      <c r="F18" s="16" t="n">
        <v>211.579533941</v>
      </c>
      <c r="G18" s="17">
        <f>E18*F18</f>
        <v/>
      </c>
      <c r="H18" s="22" t="n">
        <v>46323.85472222222</v>
      </c>
      <c r="I18" s="22" t="n">
        <v>46323.64638888889</v>
      </c>
      <c r="J18" s="17" t="n">
        <v>19.779925</v>
      </c>
      <c r="K18" s="17">
        <f>IF(ISNUMBER(J18),J18*F18,"")</f>
        <v/>
      </c>
      <c r="L18" s="23">
        <f>IF(ISNUMBER(J18),K18-G18,"")</f>
        <v/>
      </c>
      <c r="M18" s="24">
        <f>IF(ISNUMBER(J18),L18/G18,"")</f>
        <v/>
      </c>
      <c r="N18" s="25">
        <f>IF(ISNUMBER(H18),H18-C18,"")</f>
        <v/>
      </c>
      <c r="O18" s="6" t="inlineStr">
        <is>
          <t>evening under 5% (watchdog)</t>
        </is>
      </c>
      <c r="P18" s="6" t="inlineStr">
        <is>
          <t>Closed</t>
        </is>
      </c>
    </row>
    <row r="19">
      <c r="A19" s="6" t="inlineStr">
        <is>
          <t>LNG</t>
        </is>
      </c>
      <c r="B19" s="6" t="inlineStr">
        <is>
          <t>Cheniere Energy Inc</t>
        </is>
      </c>
      <c r="C19" s="22" t="n">
        <v>46323.67184027778</v>
      </c>
      <c r="D19" s="22" t="n">
        <v>46323.46350694444</v>
      </c>
      <c r="E19" s="17" t="n">
        <v>299.7</v>
      </c>
      <c r="F19" s="16" t="n">
        <v>3.489356022</v>
      </c>
      <c r="G19" s="17">
        <f>E19*F19</f>
        <v/>
      </c>
      <c r="H19" s="22" t="n">
        <v>46323.85457175926</v>
      </c>
      <c r="I19" s="22" t="n">
        <v>46323.64623842593</v>
      </c>
      <c r="J19" s="17" t="n">
        <v>297.565854</v>
      </c>
      <c r="K19" s="17">
        <f>IF(ISNUMBER(J19),J19*F19,"")</f>
        <v/>
      </c>
      <c r="L19" s="23">
        <f>IF(ISNUMBER(J19),K19-G19,"")</f>
        <v/>
      </c>
      <c r="M19" s="24">
        <f>IF(ISNUMBER(J19),L19/G19,"")</f>
        <v/>
      </c>
      <c r="N19" s="25">
        <f>IF(ISNUMBER(H19),H19-C19,"")</f>
        <v/>
      </c>
      <c r="O19" s="6" t="inlineStr">
        <is>
          <t>evening under 5% (watchdog)</t>
        </is>
      </c>
      <c r="P19" s="6" t="inlineStr">
        <is>
          <t>Closed</t>
        </is>
      </c>
    </row>
    <row r="20">
      <c r="A20" s="6" t="inlineStr">
        <is>
          <t>ADI</t>
        </is>
      </c>
      <c r="B20" s="6" t="inlineStr">
        <is>
          <t>Analog Devices, Inc. Common Stock</t>
        </is>
      </c>
      <c r="C20" s="22" t="n">
        <v>46323.67184027778</v>
      </c>
      <c r="D20" s="22" t="n">
        <v>46323.46350694444</v>
      </c>
      <c r="E20" s="17" t="n">
        <v>425</v>
      </c>
      <c r="F20" s="16" t="n">
        <v>2.460611764</v>
      </c>
      <c r="G20" s="17">
        <f>E20*F20</f>
        <v/>
      </c>
      <c r="H20" s="22" t="n">
        <v>46323.854375</v>
      </c>
      <c r="I20" s="22" t="n">
        <v>46323.64604166667</v>
      </c>
      <c r="J20" s="17" t="n">
        <v>426.02</v>
      </c>
      <c r="K20" s="17">
        <f>IF(ISNUMBER(J20),J20*F20,"")</f>
        <v/>
      </c>
      <c r="L20" s="23">
        <f>IF(ISNUMBER(J20),K20-G20,"")</f>
        <v/>
      </c>
      <c r="M20" s="24">
        <f>IF(ISNUMBER(J20),L20/G20,"")</f>
        <v/>
      </c>
      <c r="N20" s="25">
        <f>IF(ISNUMBER(H20),H20-C20,"")</f>
        <v/>
      </c>
      <c r="O20" s="6" t="inlineStr">
        <is>
          <t>evening under 5% (watchdog)</t>
        </is>
      </c>
      <c r="P20" s="6" t="inlineStr">
        <is>
          <t>Closed</t>
        </is>
      </c>
    </row>
    <row r="21">
      <c r="A21" s="6" t="inlineStr">
        <is>
          <t>NTRA</t>
        </is>
      </c>
      <c r="B21" s="6" t="inlineStr">
        <is>
          <t>Natera, Inc. Common Stock</t>
        </is>
      </c>
      <c r="C21" s="22" t="n">
        <v>46323.67185185185</v>
      </c>
      <c r="D21" s="22" t="n">
        <v>46323.46351851852</v>
      </c>
      <c r="E21" s="17" t="n">
        <v>429.56</v>
      </c>
      <c r="F21" s="16" t="n">
        <v>2.434491107</v>
      </c>
      <c r="G21" s="17">
        <f>E21*F21</f>
        <v/>
      </c>
      <c r="H21" s="22" t="n">
        <v>46323.85466435185</v>
      </c>
      <c r="I21" s="22" t="n">
        <v>46323.64633101852</v>
      </c>
      <c r="J21" s="17" t="n">
        <v>427.12</v>
      </c>
      <c r="K21" s="17">
        <f>IF(ISNUMBER(J21),J21*F21,"")</f>
        <v/>
      </c>
      <c r="L21" s="23">
        <f>IF(ISNUMBER(J21),K21-G21,"")</f>
        <v/>
      </c>
      <c r="M21" s="24">
        <f>IF(ISNUMBER(J21),L21/G21,"")</f>
        <v/>
      </c>
      <c r="N21" s="25">
        <f>IF(ISNUMBER(H21),H21-C21,"")</f>
        <v/>
      </c>
      <c r="O21" s="6" t="inlineStr">
        <is>
          <t>evening under 5% (watchdog)</t>
        </is>
      </c>
      <c r="P21" s="6" t="inlineStr">
        <is>
          <t>Closed</t>
        </is>
      </c>
    </row>
    <row r="22">
      <c r="A22" s="6" t="inlineStr">
        <is>
          <t>MO</t>
        </is>
      </c>
      <c r="B22" s="6" t="inlineStr">
        <is>
          <t>Altria Group, Inc.</t>
        </is>
      </c>
      <c r="C22" s="22" t="n">
        <v>46323.67185185185</v>
      </c>
      <c r="D22" s="22" t="n">
        <v>46323.46351851852</v>
      </c>
      <c r="E22" s="17" t="n">
        <v>73.56999999999999</v>
      </c>
      <c r="F22" s="16" t="n">
        <v>14.214489601</v>
      </c>
      <c r="G22" s="17">
        <f>E22*F22</f>
        <v/>
      </c>
      <c r="H22" s="22" t="n">
        <v>46323.85461805556</v>
      </c>
      <c r="I22" s="22" t="n">
        <v>46323.64628472222</v>
      </c>
      <c r="J22" s="17" t="n">
        <v>73.23</v>
      </c>
      <c r="K22" s="17">
        <f>IF(ISNUMBER(J22),J22*F22,"")</f>
        <v/>
      </c>
      <c r="L22" s="23">
        <f>IF(ISNUMBER(J22),K22-G22,"")</f>
        <v/>
      </c>
      <c r="M22" s="24">
        <f>IF(ISNUMBER(J22),L22/G22,"")</f>
        <v/>
      </c>
      <c r="N22" s="25">
        <f>IF(ISNUMBER(H22),H22-C22,"")</f>
        <v/>
      </c>
      <c r="O22" s="6" t="inlineStr">
        <is>
          <t>evening under 5% (watchdog)</t>
        </is>
      </c>
      <c r="P22" s="6" t="inlineStr">
        <is>
          <t>Closed</t>
        </is>
      </c>
    </row>
    <row r="23">
      <c r="A23" s="6" t="inlineStr">
        <is>
          <t>WTW</t>
        </is>
      </c>
      <c r="B23" s="6" t="inlineStr">
        <is>
          <t>Willis Towers Watson Public Limited Company Ordinary Shares</t>
        </is>
      </c>
      <c r="C23" s="22" t="n">
        <v>46323.67186342592</v>
      </c>
      <c r="D23" s="22" t="n">
        <v>46323.46353009259</v>
      </c>
      <c r="E23" s="17" t="n">
        <v>320.43</v>
      </c>
      <c r="F23" s="16" t="n">
        <v>3.263614517</v>
      </c>
      <c r="G23" s="17">
        <f>E23*F23</f>
        <v/>
      </c>
      <c r="H23" s="22" t="n">
        <v>46323.85480324074</v>
      </c>
      <c r="I23" s="22" t="n">
        <v>46323.64646990741</v>
      </c>
      <c r="J23" s="17" t="n">
        <v>321.15</v>
      </c>
      <c r="K23" s="17">
        <f>IF(ISNUMBER(J23),J23*F23,"")</f>
        <v/>
      </c>
      <c r="L23" s="23">
        <f>IF(ISNUMBER(J23),K23-G23,"")</f>
        <v/>
      </c>
      <c r="M23" s="24">
        <f>IF(ISNUMBER(J23),L23/G23,"")</f>
        <v/>
      </c>
      <c r="N23" s="25">
        <f>IF(ISNUMBER(H23),H23-C23,"")</f>
        <v/>
      </c>
      <c r="O23" s="6" t="inlineStr">
        <is>
          <t>evening under 5% (watchdog)</t>
        </is>
      </c>
      <c r="P23" s="6" t="inlineStr">
        <is>
          <t>Closed</t>
        </is>
      </c>
    </row>
    <row r="24">
      <c r="A24" s="6" t="inlineStr">
        <is>
          <t>KR</t>
        </is>
      </c>
      <c r="B24" s="6" t="inlineStr">
        <is>
          <t>The Kroger Co.</t>
        </is>
      </c>
      <c r="C24" s="22" t="n">
        <v>46323.67186342592</v>
      </c>
      <c r="D24" s="22" t="n">
        <v>46323.46353009259</v>
      </c>
      <c r="E24" s="17" t="n">
        <v>65.56999999999999</v>
      </c>
      <c r="F24" s="16" t="n">
        <v>15.948757053</v>
      </c>
      <c r="G24" s="17">
        <f>E24*F24</f>
        <v/>
      </c>
      <c r="H24" s="22" t="n">
        <v>46323.85454861111</v>
      </c>
      <c r="I24" s="22" t="n">
        <v>46323.64621527777</v>
      </c>
      <c r="J24" s="17" t="n">
        <v>65.22</v>
      </c>
      <c r="K24" s="17">
        <f>IF(ISNUMBER(J24),J24*F24,"")</f>
        <v/>
      </c>
      <c r="L24" s="23">
        <f>IF(ISNUMBER(J24),K24-G24,"")</f>
        <v/>
      </c>
      <c r="M24" s="24">
        <f>IF(ISNUMBER(J24),L24/G24,"")</f>
        <v/>
      </c>
      <c r="N24" s="25">
        <f>IF(ISNUMBER(H24),H24-C24,"")</f>
        <v/>
      </c>
      <c r="O24" s="6" t="inlineStr">
        <is>
          <t>evening under 5% (watchdog)</t>
        </is>
      </c>
      <c r="P24" s="6" t="inlineStr">
        <is>
          <t>Closed</t>
        </is>
      </c>
    </row>
    <row r="25">
      <c r="A25" s="6" t="inlineStr">
        <is>
          <t>ABBV</t>
        </is>
      </c>
      <c r="B25" s="6" t="inlineStr">
        <is>
          <t>ABBVIE INC.</t>
        </is>
      </c>
      <c r="C25" s="22" t="n">
        <v>46323.67186342592</v>
      </c>
      <c r="D25" s="22" t="n">
        <v>46323.46353009259</v>
      </c>
      <c r="E25" s="17" t="n">
        <v>288.04</v>
      </c>
      <c r="F25" s="16" t="n">
        <v>3.63060686</v>
      </c>
      <c r="G25" s="17">
        <f>E25*F25</f>
        <v/>
      </c>
      <c r="H25" s="22" t="n">
        <v>46323.85436342593</v>
      </c>
      <c r="I25" s="22" t="n">
        <v>46323.64603009259</v>
      </c>
      <c r="J25" s="17" t="n">
        <v>286.66</v>
      </c>
      <c r="K25" s="17">
        <f>IF(ISNUMBER(J25),J25*F25,"")</f>
        <v/>
      </c>
      <c r="L25" s="23">
        <f>IF(ISNUMBER(J25),K25-G25,"")</f>
        <v/>
      </c>
      <c r="M25" s="24">
        <f>IF(ISNUMBER(J25),L25/G25,"")</f>
        <v/>
      </c>
      <c r="N25" s="25">
        <f>IF(ISNUMBER(H25),H25-C25,"")</f>
        <v/>
      </c>
      <c r="O25" s="6" t="inlineStr">
        <is>
          <t>evening under 5% (watchdog)</t>
        </is>
      </c>
      <c r="P25" s="6" t="inlineStr">
        <is>
          <t>Closed</t>
        </is>
      </c>
    </row>
    <row r="26">
      <c r="A26" s="6" t="inlineStr">
        <is>
          <t>MA</t>
        </is>
      </c>
      <c r="B26" s="6" t="inlineStr">
        <is>
          <t>Mastercard Incorporated</t>
        </is>
      </c>
      <c r="C26" s="22" t="n">
        <v>46323.671875</v>
      </c>
      <c r="D26" s="22" t="n">
        <v>46323.46354166666</v>
      </c>
      <c r="E26" s="17" t="n">
        <v>613.688</v>
      </c>
      <c r="F26" s="16" t="n">
        <v>0.852029044</v>
      </c>
      <c r="G26" s="17">
        <f>E26*F26</f>
        <v/>
      </c>
      <c r="H26" s="22" t="n">
        <v>46323.67767361111</v>
      </c>
      <c r="I26" s="22" t="n">
        <v>46323.46934027778</v>
      </c>
      <c r="J26" s="17" t="n">
        <v>614.554</v>
      </c>
      <c r="K26" s="17">
        <f>IF(ISNUMBER(J26),J26*F26,"")</f>
        <v/>
      </c>
      <c r="L26" s="23">
        <f>IF(ISNUMBER(J26),K26-G26,"")</f>
        <v/>
      </c>
      <c r="M26" s="24">
        <f>IF(ISNUMBER(J26),L26/G26,"")</f>
        <v/>
      </c>
      <c r="N26" s="25">
        <f>IF(ISNUMBER(H26),H26-C26,"")</f>
        <v/>
      </c>
      <c r="O26" s="6" t="inlineStr">
        <is>
          <t>3 green: sell half</t>
        </is>
      </c>
      <c r="P26" s="6" t="inlineStr">
        <is>
          <t>Closed</t>
        </is>
      </c>
    </row>
    <row r="27">
      <c r="A27" s="6" t="inlineStr">
        <is>
          <t>MA</t>
        </is>
      </c>
      <c r="B27" s="6" t="inlineStr">
        <is>
          <t>Mastercard Incorporated</t>
        </is>
      </c>
      <c r="C27" s="22" t="n">
        <v>46323.671875</v>
      </c>
      <c r="D27" s="22" t="n">
        <v>46323.46354166666</v>
      </c>
      <c r="E27" s="17" t="n">
        <v>613.688</v>
      </c>
      <c r="F27" s="16" t="n">
        <v>0.852029044</v>
      </c>
      <c r="G27" s="17">
        <f>E27*F27</f>
        <v/>
      </c>
      <c r="H27" s="22" t="n">
        <v>46323.85456018519</v>
      </c>
      <c r="I27" s="22" t="n">
        <v>46323.64622685185</v>
      </c>
      <c r="J27" s="17" t="n">
        <v>612.568</v>
      </c>
      <c r="K27" s="17">
        <f>IF(ISNUMBER(J27),J27*F27,"")</f>
        <v/>
      </c>
      <c r="L27" s="23">
        <f>IF(ISNUMBER(J27),K27-G27,"")</f>
        <v/>
      </c>
      <c r="M27" s="24">
        <f>IF(ISNUMBER(J27),L27/G27,"")</f>
        <v/>
      </c>
      <c r="N27" s="25">
        <f>IF(ISNUMBER(H27),H27-C27,"")</f>
        <v/>
      </c>
      <c r="O27" s="6" t="inlineStr">
        <is>
          <t>evening under 5% (watchdog)</t>
        </is>
      </c>
      <c r="P27" s="6" t="inlineStr">
        <is>
          <t>Closed</t>
        </is>
      </c>
    </row>
    <row r="28">
      <c r="A28" s="6" t="inlineStr">
        <is>
          <t>ADP</t>
        </is>
      </c>
      <c r="B28" s="6" t="inlineStr">
        <is>
          <t>Automatic Data Processing, Inc. Common Stock</t>
        </is>
      </c>
      <c r="C28" s="22" t="n">
        <v>46323.671875</v>
      </c>
      <c r="D28" s="22" t="n">
        <v>46323.46354166666</v>
      </c>
      <c r="E28" s="17" t="n">
        <v>284.46</v>
      </c>
      <c r="F28" s="16" t="n">
        <v>3.676298952</v>
      </c>
      <c r="G28" s="17">
        <f>E28*F28</f>
        <v/>
      </c>
      <c r="H28" s="22" t="n">
        <v>46323.67340277778</v>
      </c>
      <c r="I28" s="22" t="n">
        <v>46323.46506944444</v>
      </c>
      <c r="J28" s="17" t="n">
        <v>283.51</v>
      </c>
      <c r="K28" s="17">
        <f>IF(ISNUMBER(J28),J28*F28,"")</f>
        <v/>
      </c>
      <c r="L28" s="23">
        <f>IF(ISNUMBER(J28),K28-G28,"")</f>
        <v/>
      </c>
      <c r="M28" s="24">
        <f>IF(ISNUMBER(J28),L28/G28,"")</f>
        <v/>
      </c>
      <c r="N28" s="25">
        <f>IF(ISNUMBER(H28),H28-C28,"")</f>
        <v/>
      </c>
      <c r="O28" s="6" t="inlineStr">
        <is>
          <t>bad day</t>
        </is>
      </c>
      <c r="P28" s="6" t="inlineStr">
        <is>
          <t>Closed</t>
        </is>
      </c>
    </row>
    <row r="29">
      <c r="A29" s="6" t="inlineStr">
        <is>
          <t>CNC</t>
        </is>
      </c>
      <c r="B29" s="6" t="inlineStr">
        <is>
          <t>Centene Corporation</t>
        </is>
      </c>
      <c r="C29" s="22" t="n">
        <v>46323.671875</v>
      </c>
      <c r="D29" s="22" t="n">
        <v>46323.46354166666</v>
      </c>
      <c r="E29" s="17" t="n">
        <v>68.89</v>
      </c>
      <c r="F29" s="16" t="n">
        <v>7.590071127</v>
      </c>
      <c r="G29" s="17">
        <f>E29*F29</f>
        <v/>
      </c>
      <c r="H29" s="22" t="n">
        <v>46323.689375</v>
      </c>
      <c r="I29" s="22" t="n">
        <v>46323.48104166667</v>
      </c>
      <c r="J29" s="17" t="n">
        <v>69.01000000000001</v>
      </c>
      <c r="K29" s="17">
        <f>IF(ISNUMBER(J29),J29*F29,"")</f>
        <v/>
      </c>
      <c r="L29" s="23">
        <f>IF(ISNUMBER(J29),K29-G29,"")</f>
        <v/>
      </c>
      <c r="M29" s="24">
        <f>IF(ISNUMBER(J29),L29/G29,"")</f>
        <v/>
      </c>
      <c r="N29" s="25">
        <f>IF(ISNUMBER(H29),H29-C29,"")</f>
        <v/>
      </c>
      <c r="O29" s="6" t="inlineStr">
        <is>
          <t>3 green: sell half</t>
        </is>
      </c>
      <c r="P29" s="6" t="inlineStr">
        <is>
          <t>Closed</t>
        </is>
      </c>
    </row>
    <row r="30">
      <c r="A30" s="6" t="inlineStr">
        <is>
          <t>CNC</t>
        </is>
      </c>
      <c r="B30" s="6" t="inlineStr">
        <is>
          <t>Centene Corporation</t>
        </is>
      </c>
      <c r="C30" s="22" t="n">
        <v>46323.671875</v>
      </c>
      <c r="D30" s="22" t="n">
        <v>46323.46354166666</v>
      </c>
      <c r="E30" s="17" t="n">
        <v>68.89</v>
      </c>
      <c r="F30" s="16" t="n">
        <v>7.590071128</v>
      </c>
      <c r="G30" s="17">
        <f>E30*F30</f>
        <v/>
      </c>
      <c r="H30" s="22" t="n">
        <v>46323.76857638889</v>
      </c>
      <c r="I30" s="22" t="n">
        <v>46323.56024305556</v>
      </c>
      <c r="J30" s="17" t="n">
        <v>67.72</v>
      </c>
      <c r="K30" s="17">
        <f>IF(ISNUMBER(J30),J30*F30,"")</f>
        <v/>
      </c>
      <c r="L30" s="23">
        <f>IF(ISNUMBER(J30),K30-G30,"")</f>
        <v/>
      </c>
      <c r="M30" s="24">
        <f>IF(ISNUMBER(J30),L30/G30,"")</f>
        <v/>
      </c>
      <c r="N30" s="25">
        <f>IF(ISNUMBER(H30),H30-C30,"")</f>
        <v/>
      </c>
      <c r="O30" s="6" t="inlineStr">
        <is>
          <t>2 or fewer green</t>
        </is>
      </c>
      <c r="P30" s="6" t="inlineStr">
        <is>
          <t>Closed</t>
        </is>
      </c>
    </row>
    <row r="31">
      <c r="A31" s="6" t="inlineStr">
        <is>
          <t>CTSH</t>
        </is>
      </c>
      <c r="B31" s="6" t="inlineStr">
        <is>
          <t>Cognizant Technology Solutions Corporation Class A Common Stock</t>
        </is>
      </c>
      <c r="C31" s="22" t="n">
        <v>46323.67188657408</v>
      </c>
      <c r="D31" s="22" t="n">
        <v>46323.46355324074</v>
      </c>
      <c r="E31" s="17" t="n">
        <v>66.55</v>
      </c>
      <c r="F31" s="16" t="n">
        <v>15.713899323</v>
      </c>
      <c r="G31" s="17">
        <f>E31*F31</f>
        <v/>
      </c>
      <c r="H31" s="22" t="n">
        <v>46323.8544212963</v>
      </c>
      <c r="I31" s="22" t="n">
        <v>46323.64608796296</v>
      </c>
      <c r="J31" s="17" t="n">
        <v>66.09999999999999</v>
      </c>
      <c r="K31" s="17">
        <f>IF(ISNUMBER(J31),J31*F31,"")</f>
        <v/>
      </c>
      <c r="L31" s="23">
        <f>IF(ISNUMBER(J31),K31-G31,"")</f>
        <v/>
      </c>
      <c r="M31" s="24">
        <f>IF(ISNUMBER(J31),L31/G31,"")</f>
        <v/>
      </c>
      <c r="N31" s="25">
        <f>IF(ISNUMBER(H31),H31-C31,"")</f>
        <v/>
      </c>
      <c r="O31" s="6" t="inlineStr">
        <is>
          <t>evening under 5% (watchdog)</t>
        </is>
      </c>
      <c r="P31" s="6" t="inlineStr">
        <is>
          <t>Closed</t>
        </is>
      </c>
    </row>
    <row r="32">
      <c r="A32" s="6" t="inlineStr">
        <is>
          <t>EQNR</t>
        </is>
      </c>
      <c r="B32" s="6" t="inlineStr">
        <is>
          <t>Equinor ASA American Depositary Shares (Each Representing One Ordinary Share, nominal value NOK 2.50 per share)</t>
        </is>
      </c>
      <c r="C32" s="22" t="n">
        <v>46323.67188657408</v>
      </c>
      <c r="D32" s="22" t="n">
        <v>46323.46355324074</v>
      </c>
      <c r="E32" s="17" t="n">
        <v>47.68</v>
      </c>
      <c r="F32" s="16" t="n">
        <v>21.932885906</v>
      </c>
      <c r="G32" s="17">
        <f>E32*F32</f>
        <v/>
      </c>
      <c r="H32" s="22" t="n">
        <v>46323.8544675926</v>
      </c>
      <c r="I32" s="22" t="n">
        <v>46323.64613425926</v>
      </c>
      <c r="J32" s="17" t="n">
        <v>47.68</v>
      </c>
      <c r="K32" s="17">
        <f>IF(ISNUMBER(J32),J32*F32,"")</f>
        <v/>
      </c>
      <c r="L32" s="23">
        <f>IF(ISNUMBER(J32),K32-G32,"")</f>
        <v/>
      </c>
      <c r="M32" s="24">
        <f>IF(ISNUMBER(J32),L32/G32,"")</f>
        <v/>
      </c>
      <c r="N32" s="25">
        <f>IF(ISNUMBER(H32),H32-C32,"")</f>
        <v/>
      </c>
      <c r="O32" s="6" t="inlineStr">
        <is>
          <t>evening under 5% (watchdog)</t>
        </is>
      </c>
      <c r="P32" s="6" t="inlineStr">
        <is>
          <t>Closed</t>
        </is>
      </c>
    </row>
    <row r="33">
      <c r="A33" s="6" t="inlineStr">
        <is>
          <t>MPC</t>
        </is>
      </c>
      <c r="B33" s="6" t="inlineStr">
        <is>
          <t>MARATHON PETROLEUM CORPORATION</t>
        </is>
      </c>
      <c r="C33" s="22" t="n">
        <v>46323.67767361111</v>
      </c>
      <c r="D33" s="22" t="n">
        <v>46323.46934027778</v>
      </c>
      <c r="E33" s="17" t="n">
        <v>437.364</v>
      </c>
      <c r="F33" s="16" t="n">
        <v>0.19946772</v>
      </c>
      <c r="G33" s="17">
        <f>E33*F33</f>
        <v/>
      </c>
      <c r="H33" s="22" t="n">
        <v>46323.85462962963</v>
      </c>
      <c r="I33" s="22" t="n">
        <v>46323.6462962963</v>
      </c>
      <c r="J33" s="17" t="n">
        <v>442.04</v>
      </c>
      <c r="K33" s="17">
        <f>IF(ISNUMBER(J33),J33*F33,"")</f>
        <v/>
      </c>
      <c r="L33" s="23">
        <f>IF(ISNUMBER(J33),K33-G33,"")</f>
        <v/>
      </c>
      <c r="M33" s="24">
        <f>IF(ISNUMBER(J33),L33/G33,"")</f>
        <v/>
      </c>
      <c r="N33" s="25">
        <f>IF(ISNUMBER(H33),H33-C33,"")</f>
        <v/>
      </c>
      <c r="O33" s="6" t="inlineStr">
        <is>
          <t>evening under 5% (watchdog)</t>
        </is>
      </c>
      <c r="P33" s="6" t="inlineStr">
        <is>
          <t>Closed</t>
        </is>
      </c>
    </row>
    <row r="34">
      <c r="A34" s="6" t="inlineStr">
        <is>
          <t>EQT</t>
        </is>
      </c>
      <c r="B34" s="6" t="inlineStr">
        <is>
          <t>EQT CORP</t>
        </is>
      </c>
      <c r="C34" s="22" t="n">
        <v>46323.67768518518</v>
      </c>
      <c r="D34" s="22" t="n">
        <v>46323.46935185185</v>
      </c>
      <c r="E34" s="17" t="n">
        <v>55.842</v>
      </c>
      <c r="F34" s="16" t="n">
        <v>1.562264961</v>
      </c>
      <c r="G34" s="17">
        <f>E34*F34</f>
        <v/>
      </c>
      <c r="H34" s="22" t="n">
        <v>46323.85447916666</v>
      </c>
      <c r="I34" s="22" t="n">
        <v>46323.64614583334</v>
      </c>
      <c r="J34" s="17" t="n">
        <v>56.34</v>
      </c>
      <c r="K34" s="17">
        <f>IF(ISNUMBER(J34),J34*F34,"")</f>
        <v/>
      </c>
      <c r="L34" s="23">
        <f>IF(ISNUMBER(J34),K34-G34,"")</f>
        <v/>
      </c>
      <c r="M34" s="24">
        <f>IF(ISNUMBER(J34),L34/G34,"")</f>
        <v/>
      </c>
      <c r="N34" s="25">
        <f>IF(ISNUMBER(H34),H34-C34,"")</f>
        <v/>
      </c>
      <c r="O34" s="6" t="inlineStr">
        <is>
          <t>evening under 5% (watchdog)</t>
        </is>
      </c>
      <c r="P34" s="6" t="inlineStr">
        <is>
          <t>Closed</t>
        </is>
      </c>
    </row>
    <row r="35">
      <c r="A35" s="6" t="inlineStr">
        <is>
          <t>PSX</t>
        </is>
      </c>
      <c r="B35" s="6" t="inlineStr">
        <is>
          <t>PHILLIPS 66</t>
        </is>
      </c>
      <c r="C35" s="22" t="n">
        <v>46323.67768518518</v>
      </c>
      <c r="D35" s="22" t="n">
        <v>46323.46935185185</v>
      </c>
      <c r="E35" s="17" t="n">
        <v>269.96</v>
      </c>
      <c r="F35" s="16" t="n">
        <v>0.323158986</v>
      </c>
      <c r="G35" s="17">
        <f>E35*F35</f>
        <v/>
      </c>
      <c r="H35" s="22" t="n">
        <v>46323.8546875</v>
      </c>
      <c r="I35" s="22" t="n">
        <v>46323.64635416667</v>
      </c>
      <c r="J35" s="17" t="n">
        <v>273.476</v>
      </c>
      <c r="K35" s="17">
        <f>IF(ISNUMBER(J35),J35*F35,"")</f>
        <v/>
      </c>
      <c r="L35" s="23">
        <f>IF(ISNUMBER(J35),K35-G35,"")</f>
        <v/>
      </c>
      <c r="M35" s="24">
        <f>IF(ISNUMBER(J35),L35/G35,"")</f>
        <v/>
      </c>
      <c r="N35" s="25">
        <f>IF(ISNUMBER(H35),H35-C35,"")</f>
        <v/>
      </c>
      <c r="O35" s="6" t="inlineStr">
        <is>
          <t>evening under 5% (watchdog)</t>
        </is>
      </c>
      <c r="P35" s="6" t="inlineStr">
        <is>
          <t>Closed</t>
        </is>
      </c>
    </row>
    <row r="36">
      <c r="A36" s="6" t="inlineStr">
        <is>
          <t>DINO</t>
        </is>
      </c>
      <c r="B36" s="6" t="inlineStr">
        <is>
          <t>HF Sinclair Corporation</t>
        </is>
      </c>
      <c r="C36" s="22" t="n">
        <v>46323.68936342592</v>
      </c>
      <c r="D36" s="22" t="n">
        <v>46323.48103009259</v>
      </c>
      <c r="E36" s="17" t="n">
        <v>111.978</v>
      </c>
      <c r="F36" s="16" t="n">
        <v>0.486970654</v>
      </c>
      <c r="G36" s="17">
        <f>E36*F36</f>
        <v/>
      </c>
      <c r="H36" s="22" t="n">
        <v>46323.69346064814</v>
      </c>
      <c r="I36" s="22" t="n">
        <v>46323.48512731482</v>
      </c>
      <c r="J36" s="17" t="n">
        <v>111.736</v>
      </c>
      <c r="K36" s="17">
        <f>IF(ISNUMBER(J36),J36*F36,"")</f>
        <v/>
      </c>
      <c r="L36" s="23">
        <f>IF(ISNUMBER(J36),K36-G36,"")</f>
        <v/>
      </c>
      <c r="M36" s="24">
        <f>IF(ISNUMBER(J36),L36/G36,"")</f>
        <v/>
      </c>
      <c r="N36" s="25">
        <f>IF(ISNUMBER(H36),H36-C36,"")</f>
        <v/>
      </c>
      <c r="O36" s="6" t="inlineStr">
        <is>
          <t>3 green: sell half</t>
        </is>
      </c>
      <c r="P36" s="6" t="inlineStr">
        <is>
          <t>Closed</t>
        </is>
      </c>
    </row>
    <row r="37">
      <c r="A37" s="6" t="inlineStr">
        <is>
          <t>DINO</t>
        </is>
      </c>
      <c r="B37" s="6" t="inlineStr">
        <is>
          <t>HF Sinclair Corporation</t>
        </is>
      </c>
      <c r="C37" s="22" t="n">
        <v>46323.68936342592</v>
      </c>
      <c r="D37" s="22" t="n">
        <v>46323.48103009259</v>
      </c>
      <c r="E37" s="17" t="n">
        <v>111.978</v>
      </c>
      <c r="F37" s="16" t="n">
        <v>0.486970655</v>
      </c>
      <c r="G37" s="17">
        <f>E37*F37</f>
        <v/>
      </c>
      <c r="H37" s="22" t="n">
        <v>46323.85440972223</v>
      </c>
      <c r="I37" s="22" t="n">
        <v>46323.64607638889</v>
      </c>
      <c r="J37" s="17" t="n">
        <v>113.556</v>
      </c>
      <c r="K37" s="17">
        <f>IF(ISNUMBER(J37),J37*F37,"")</f>
        <v/>
      </c>
      <c r="L37" s="23">
        <f>IF(ISNUMBER(J37),K37-G37,"")</f>
        <v/>
      </c>
      <c r="M37" s="24">
        <f>IF(ISNUMBER(J37),L37/G37,"")</f>
        <v/>
      </c>
      <c r="N37" s="25">
        <f>IF(ISNUMBER(H37),H37-C37,"")</f>
        <v/>
      </c>
      <c r="O37" s="6" t="inlineStr">
        <is>
          <t>evening under 5% (watchdog)</t>
        </is>
      </c>
      <c r="P37" s="6" t="inlineStr">
        <is>
          <t>Closed</t>
        </is>
      </c>
    </row>
    <row r="38">
      <c r="A38" s="6" t="inlineStr">
        <is>
          <t>LLY</t>
        </is>
      </c>
      <c r="B38" s="6" t="inlineStr">
        <is>
          <t>Eli Lilly &amp; Co.</t>
        </is>
      </c>
      <c r="C38" s="22" t="n">
        <v>46323.70951388889</v>
      </c>
      <c r="D38" s="22" t="n">
        <v>46323.50118055556</v>
      </c>
      <c r="E38" s="17" t="n">
        <v>1291.586</v>
      </c>
      <c r="F38" s="16" t="n">
        <v>0.057344226</v>
      </c>
      <c r="G38" s="17">
        <f>E38*F38</f>
        <v/>
      </c>
      <c r="H38" s="22" t="n">
        <v>46323.82612268518</v>
      </c>
      <c r="I38" s="22" t="n">
        <v>46323.61778935185</v>
      </c>
      <c r="J38" s="17" t="n">
        <v>1291.566</v>
      </c>
      <c r="K38" s="17">
        <f>IF(ISNUMBER(J38),J38*F38,"")</f>
        <v/>
      </c>
      <c r="L38" s="23">
        <f>IF(ISNUMBER(J38),K38-G38,"")</f>
        <v/>
      </c>
      <c r="M38" s="24">
        <f>IF(ISNUMBER(J38),L38/G38,"")</f>
        <v/>
      </c>
      <c r="N38" s="25">
        <f>IF(ISNUMBER(H38),H38-C38,"")</f>
        <v/>
      </c>
      <c r="O38" s="6" t="inlineStr">
        <is>
          <t>3 green: sell half</t>
        </is>
      </c>
      <c r="P38" s="6" t="inlineStr">
        <is>
          <t>Closed</t>
        </is>
      </c>
    </row>
    <row r="39">
      <c r="A39" s="6" t="inlineStr">
        <is>
          <t>LLY</t>
        </is>
      </c>
      <c r="B39" s="6" t="inlineStr">
        <is>
          <t>Eli Lilly &amp; Co.</t>
        </is>
      </c>
      <c r="C39" s="22" t="n">
        <v>46323.70951388889</v>
      </c>
      <c r="D39" s="22" t="n">
        <v>46323.50118055556</v>
      </c>
      <c r="E39" s="17" t="n">
        <v>1291.586</v>
      </c>
      <c r="F39" s="16" t="n">
        <v>0.057344226</v>
      </c>
      <c r="G39" s="17">
        <f>E39*F39</f>
        <v/>
      </c>
      <c r="H39" s="22" t="n">
        <v>46323.85453703703</v>
      </c>
      <c r="I39" s="22" t="n">
        <v>46323.64620370371</v>
      </c>
      <c r="J39" s="17" t="n">
        <v>1295.462</v>
      </c>
      <c r="K39" s="17">
        <f>IF(ISNUMBER(J39),J39*F39,"")</f>
        <v/>
      </c>
      <c r="L39" s="23">
        <f>IF(ISNUMBER(J39),K39-G39,"")</f>
        <v/>
      </c>
      <c r="M39" s="24">
        <f>IF(ISNUMBER(J39),L39/G39,"")</f>
        <v/>
      </c>
      <c r="N39" s="25">
        <f>IF(ISNUMBER(H39),H39-C39,"")</f>
        <v/>
      </c>
      <c r="O39" s="6" t="inlineStr">
        <is>
          <t>evening under 5% (watchdog)</t>
        </is>
      </c>
      <c r="P39" s="6" t="inlineStr">
        <is>
          <t>Closed</t>
        </is>
      </c>
    </row>
    <row r="40">
      <c r="A40" s="6" t="inlineStr">
        <is>
          <t>REGN</t>
        </is>
      </c>
      <c r="B40" s="6" t="inlineStr">
        <is>
          <t>Regeneron Pharmaceuticals, Inc. Common Stock</t>
        </is>
      </c>
      <c r="C40" s="22" t="n">
        <v>46323.72341435185</v>
      </c>
      <c r="D40" s="22" t="n">
        <v>46323.51508101852</v>
      </c>
      <c r="E40" s="17" t="n">
        <v>811.418</v>
      </c>
      <c r="F40" s="16" t="n">
        <v>0.083680667</v>
      </c>
      <c r="G40" s="17">
        <f>E40*F40</f>
        <v/>
      </c>
      <c r="H40" s="22" t="n">
        <v>46323.74836805555</v>
      </c>
      <c r="I40" s="22" t="n">
        <v>46323.54003472222</v>
      </c>
      <c r="J40" s="17" t="n">
        <v>812.398</v>
      </c>
      <c r="K40" s="17">
        <f>IF(ISNUMBER(J40),J40*F40,"")</f>
        <v/>
      </c>
      <c r="L40" s="23">
        <f>IF(ISNUMBER(J40),K40-G40,"")</f>
        <v/>
      </c>
      <c r="M40" s="24">
        <f>IF(ISNUMBER(J40),L40/G40,"")</f>
        <v/>
      </c>
      <c r="N40" s="25">
        <f>IF(ISNUMBER(H40),H40-C40,"")</f>
        <v/>
      </c>
      <c r="O40" s="6" t="inlineStr">
        <is>
          <t>3 green: sell half</t>
        </is>
      </c>
      <c r="P40" s="6" t="inlineStr">
        <is>
          <t>Closed</t>
        </is>
      </c>
    </row>
    <row r="41">
      <c r="A41" s="6" t="inlineStr">
        <is>
          <t>REGN</t>
        </is>
      </c>
      <c r="B41" s="6" t="inlineStr">
        <is>
          <t>Regeneron Pharmaceuticals, Inc. Common Stock</t>
        </is>
      </c>
      <c r="C41" s="22" t="n">
        <v>46323.72341435185</v>
      </c>
      <c r="D41" s="22" t="n">
        <v>46323.51508101852</v>
      </c>
      <c r="E41" s="17" t="n">
        <v>811.418</v>
      </c>
      <c r="F41" s="16" t="n">
        <v>0.083680668</v>
      </c>
      <c r="G41" s="17">
        <f>E41*F41</f>
        <v/>
      </c>
      <c r="H41" s="22" t="n">
        <v>46323.85471064815</v>
      </c>
      <c r="I41" s="22" t="n">
        <v>46323.64637731481</v>
      </c>
      <c r="J41" s="17" t="n">
        <v>810.48</v>
      </c>
      <c r="K41" s="17">
        <f>IF(ISNUMBER(J41),J41*F41,"")</f>
        <v/>
      </c>
      <c r="L41" s="23">
        <f>IF(ISNUMBER(J41),K41-G41,"")</f>
        <v/>
      </c>
      <c r="M41" s="24">
        <f>IF(ISNUMBER(J41),L41/G41,"")</f>
        <v/>
      </c>
      <c r="N41" s="25">
        <f>IF(ISNUMBER(H41),H41-C41,"")</f>
        <v/>
      </c>
      <c r="O41" s="6" t="inlineStr">
        <is>
          <t>evening under 5% (watchdog)</t>
        </is>
      </c>
      <c r="P41" s="6" t="inlineStr">
        <is>
          <t>Closed</t>
        </is>
      </c>
    </row>
    <row r="42">
      <c r="A42" s="6" t="inlineStr">
        <is>
          <t>SO</t>
        </is>
      </c>
      <c r="B42" s="6" t="inlineStr">
        <is>
          <t>The Southern Company</t>
        </is>
      </c>
      <c r="C42" s="22" t="n">
        <v>46323.74836805555</v>
      </c>
      <c r="D42" s="22" t="n">
        <v>46323.54003472222</v>
      </c>
      <c r="E42" s="17" t="n">
        <v>92.318</v>
      </c>
      <c r="F42" s="16" t="n">
        <v>1.348382763</v>
      </c>
      <c r="G42" s="17">
        <f>E42*F42</f>
        <v/>
      </c>
      <c r="H42" s="22" t="n">
        <v>46323.85474537037</v>
      </c>
      <c r="I42" s="22" t="n">
        <v>46323.64641203704</v>
      </c>
      <c r="J42" s="17" t="n">
        <v>91.59999999999999</v>
      </c>
      <c r="K42" s="17">
        <f>IF(ISNUMBER(J42),J42*F42,"")</f>
        <v/>
      </c>
      <c r="L42" s="23">
        <f>IF(ISNUMBER(J42),K42-G42,"")</f>
        <v/>
      </c>
      <c r="M42" s="24">
        <f>IF(ISNUMBER(J42),L42/G42,"")</f>
        <v/>
      </c>
      <c r="N42" s="25">
        <f>IF(ISNUMBER(H42),H42-C42,"")</f>
        <v/>
      </c>
      <c r="O42" s="6" t="inlineStr">
        <is>
          <t>evening under 5% (watchdog)</t>
        </is>
      </c>
      <c r="P42" s="6" t="inlineStr">
        <is>
          <t>Closed</t>
        </is>
      </c>
    </row>
    <row r="43">
      <c r="A43" s="6" t="inlineStr">
        <is>
          <t>OXY</t>
        </is>
      </c>
      <c r="B43" s="6" t="inlineStr">
        <is>
          <t>Occidental Petroleum Corporation</t>
        </is>
      </c>
      <c r="C43" s="22" t="n">
        <v>46324.60554398148</v>
      </c>
      <c r="D43" s="22" t="n">
        <v>46324.39721064815</v>
      </c>
      <c r="E43" s="17" t="n">
        <v>63.05</v>
      </c>
      <c r="F43" s="16" t="n">
        <v>132.370499603</v>
      </c>
      <c r="G43" s="17">
        <f>E43*F43</f>
        <v/>
      </c>
      <c r="H43" s="22" t="n"/>
      <c r="I43" s="22" t="n"/>
      <c r="J43" s="17" t="n"/>
      <c r="K43" s="17">
        <f>IF(ISNUMBER(J43),J43*F43,"")</f>
        <v/>
      </c>
      <c r="L43" s="23">
        <f>IF(ISNUMBER(J43),K43-G43,"")</f>
        <v/>
      </c>
      <c r="M43" s="24">
        <f>IF(ISNUMBER(J43),L43/G43,"")</f>
        <v/>
      </c>
      <c r="N43" s="25">
        <f>IF(ISNUMBER(H43),H43-C43,"")</f>
        <v/>
      </c>
      <c r="O43" s="6" t="n"/>
      <c r="P43" s="6" t="inlineStr">
        <is>
          <t>Open</t>
        </is>
      </c>
    </row>
    <row r="44">
      <c r="A44" s="6" t="inlineStr">
        <is>
          <t>ADP</t>
        </is>
      </c>
      <c r="B44" s="6" t="inlineStr">
        <is>
          <t>Automatic Data Processing, Inc. Common Stock</t>
        </is>
      </c>
      <c r="C44" s="22" t="n">
        <v>46324.60613425926</v>
      </c>
      <c r="D44" s="22" t="n">
        <v>46324.39780092592</v>
      </c>
      <c r="E44" s="17" t="n">
        <v>288.99</v>
      </c>
      <c r="F44" s="16" t="n">
        <v>28.879753624</v>
      </c>
      <c r="G44" s="17">
        <f>E44*F44</f>
        <v/>
      </c>
      <c r="H44" s="22" t="n"/>
      <c r="I44" s="22" t="n"/>
      <c r="J44" s="17" t="n"/>
      <c r="K44" s="17">
        <f>IF(ISNUMBER(J44),J44*F44,"")</f>
        <v/>
      </c>
      <c r="L44" s="23">
        <f>IF(ISNUMBER(J44),K44-G44,"")</f>
        <v/>
      </c>
      <c r="M44" s="24">
        <f>IF(ISNUMBER(J44),L44/G44,"")</f>
        <v/>
      </c>
      <c r="N44" s="25">
        <f>IF(ISNUMBER(H44),H44-C44,"")</f>
        <v/>
      </c>
      <c r="O44" s="6" t="n"/>
      <c r="P44" s="6" t="inlineStr">
        <is>
          <t>Open</t>
        </is>
      </c>
    </row>
    <row r="45">
      <c r="A45" s="6" t="inlineStr">
        <is>
          <t>LLY</t>
        </is>
      </c>
      <c r="B45" s="6" t="inlineStr">
        <is>
          <t>Eli Lilly &amp; Co.</t>
        </is>
      </c>
      <c r="C45" s="22" t="n">
        <v>46324.60625</v>
      </c>
      <c r="D45" s="22" t="n">
        <v>46324.39791666667</v>
      </c>
      <c r="E45" s="17" t="n">
        <v>1382.881495</v>
      </c>
      <c r="F45" s="16" t="n">
        <v>6.035195373</v>
      </c>
      <c r="G45" s="17">
        <f>E45*F45</f>
        <v/>
      </c>
      <c r="H45" s="22" t="n">
        <v>46324.68523148148</v>
      </c>
      <c r="I45" s="22" t="n">
        <v>46324.47689814815</v>
      </c>
      <c r="J45" s="17" t="n">
        <v>1370.33</v>
      </c>
      <c r="K45" s="17">
        <f>IF(ISNUMBER(J45),J45*F45,"")</f>
        <v/>
      </c>
      <c r="L45" s="23">
        <f>IF(ISNUMBER(J45),K45-G45,"")</f>
        <v/>
      </c>
      <c r="M45" s="24">
        <f>IF(ISNUMBER(J45),L45/G45,"")</f>
        <v/>
      </c>
      <c r="N45" s="25">
        <f>IF(ISNUMBER(H45),H45-C45,"")</f>
        <v/>
      </c>
      <c r="O45" s="6" t="inlineStr">
        <is>
          <t>trailing stop</t>
        </is>
      </c>
      <c r="P45" s="6" t="inlineStr">
        <is>
          <t>Closed</t>
        </is>
      </c>
    </row>
    <row r="46">
      <c r="A46" s="6" t="inlineStr">
        <is>
          <t>IQV</t>
        </is>
      </c>
      <c r="B46" s="6" t="inlineStr">
        <is>
          <t>IQVIA Holdings Inc.</t>
        </is>
      </c>
      <c r="C46" s="22" t="n">
        <v>46324.60626157407</v>
      </c>
      <c r="D46" s="22" t="n">
        <v>46324.39792824074</v>
      </c>
      <c r="E46" s="17" t="n">
        <v>277.5</v>
      </c>
      <c r="F46" s="16" t="n">
        <v>30.075531531</v>
      </c>
      <c r="G46" s="17">
        <f>E46*F46</f>
        <v/>
      </c>
      <c r="H46" s="22" t="n"/>
      <c r="I46" s="22" t="n"/>
      <c r="J46" s="17" t="n"/>
      <c r="K46" s="17">
        <f>IF(ISNUMBER(J46),J46*F46,"")</f>
        <v/>
      </c>
      <c r="L46" s="23">
        <f>IF(ISNUMBER(J46),K46-G46,"")</f>
        <v/>
      </c>
      <c r="M46" s="24">
        <f>IF(ISNUMBER(J46),L46/G46,"")</f>
        <v/>
      </c>
      <c r="N46" s="25">
        <f>IF(ISNUMBER(H46),H46-C46,"")</f>
        <v/>
      </c>
      <c r="O46" s="6" t="n"/>
      <c r="P46" s="6" t="inlineStr">
        <is>
          <t>Open</t>
        </is>
      </c>
    </row>
    <row r="47">
      <c r="A47" s="6" t="inlineStr">
        <is>
          <t>ADI</t>
        </is>
      </c>
      <c r="B47" s="6" t="inlineStr">
        <is>
          <t>Analog Devices, Inc. Common Stock</t>
        </is>
      </c>
      <c r="C47" s="22" t="n">
        <v>46324.6062962963</v>
      </c>
      <c r="D47" s="22" t="n">
        <v>46324.39796296296</v>
      </c>
      <c r="E47" s="17" t="n">
        <v>427.19138</v>
      </c>
      <c r="F47" s="16" t="n">
        <v>19.536817436</v>
      </c>
      <c r="G47" s="17">
        <f>E47*F47</f>
        <v/>
      </c>
      <c r="H47" s="22" t="n"/>
      <c r="I47" s="22" t="n"/>
      <c r="J47" s="17" t="n"/>
      <c r="K47" s="17">
        <f>IF(ISNUMBER(J47),J47*F47,"")</f>
        <v/>
      </c>
      <c r="L47" s="23">
        <f>IF(ISNUMBER(J47),K47-G47,"")</f>
        <v/>
      </c>
      <c r="M47" s="24">
        <f>IF(ISNUMBER(J47),L47/G47,"")</f>
        <v/>
      </c>
      <c r="N47" s="25">
        <f>IF(ISNUMBER(H47),H47-C47,"")</f>
        <v/>
      </c>
      <c r="O47" s="6" t="n"/>
      <c r="P47" s="6" t="inlineStr">
        <is>
          <t>Open</t>
        </is>
      </c>
    </row>
    <row r="48">
      <c r="A48" s="6" t="inlineStr">
        <is>
          <t>MPC</t>
        </is>
      </c>
      <c r="B48" s="6" t="inlineStr">
        <is>
          <t>MARATHON PETROLEUM CORPORATION</t>
        </is>
      </c>
      <c r="C48" s="22" t="n">
        <v>46324.60640046297</v>
      </c>
      <c r="D48" s="22" t="n">
        <v>46324.39806712963</v>
      </c>
      <c r="E48" s="17" t="n">
        <v>442.839476</v>
      </c>
      <c r="F48" s="16" t="n">
        <v>18.846467973</v>
      </c>
      <c r="G48" s="17">
        <f>E48*F48</f>
        <v/>
      </c>
      <c r="H48" s="22" t="n">
        <v>46324.6747337963</v>
      </c>
      <c r="I48" s="22" t="n">
        <v>46324.46640046296</v>
      </c>
      <c r="J48" s="17" t="n">
        <v>421.33</v>
      </c>
      <c r="K48" s="17">
        <f>IF(ISNUMBER(J48),J48*F48,"")</f>
        <v/>
      </c>
      <c r="L48" s="23">
        <f>IF(ISNUMBER(J48),K48-G48,"")</f>
        <v/>
      </c>
      <c r="M48" s="24">
        <f>IF(ISNUMBER(J48),L48/G48,"")</f>
        <v/>
      </c>
      <c r="N48" s="25">
        <f>IF(ISNUMBER(H48),H48-C48,"")</f>
        <v/>
      </c>
      <c r="O48" s="6" t="inlineStr">
        <is>
          <t>bad day</t>
        </is>
      </c>
      <c r="P48" s="6" t="inlineStr">
        <is>
          <t>Closed</t>
        </is>
      </c>
    </row>
    <row r="49">
      <c r="A49" s="6" t="inlineStr">
        <is>
          <t>ISRG</t>
        </is>
      </c>
      <c r="B49" s="6" t="inlineStr">
        <is>
          <t>Intuitive Surgical, Inc. Common Stock</t>
        </is>
      </c>
      <c r="C49" s="22" t="n">
        <v>46324.60655092593</v>
      </c>
      <c r="D49" s="22" t="n">
        <v>46324.39821759259</v>
      </c>
      <c r="E49" s="17" t="n">
        <v>447.607374</v>
      </c>
      <c r="F49" s="16" t="n">
        <v>18.645716072</v>
      </c>
      <c r="G49" s="17">
        <f>E49*F49</f>
        <v/>
      </c>
      <c r="H49" s="22" t="n"/>
      <c r="I49" s="22" t="n"/>
      <c r="J49" s="17" t="n"/>
      <c r="K49" s="17">
        <f>IF(ISNUMBER(J49),J49*F49,"")</f>
        <v/>
      </c>
      <c r="L49" s="23">
        <f>IF(ISNUMBER(J49),K49-G49,"")</f>
        <v/>
      </c>
      <c r="M49" s="24">
        <f>IF(ISNUMBER(J49),L49/G49,"")</f>
        <v/>
      </c>
      <c r="N49" s="25">
        <f>IF(ISNUMBER(H49),H49-C49,"")</f>
        <v/>
      </c>
      <c r="O49" s="6" t="n"/>
      <c r="P49" s="6" t="inlineStr">
        <is>
          <t>Open</t>
        </is>
      </c>
    </row>
    <row r="50">
      <c r="A50" s="6" t="inlineStr">
        <is>
          <t>WTW</t>
        </is>
      </c>
      <c r="B50" s="6" t="inlineStr">
        <is>
          <t>Willis Towers Watson Public Limited Company Ordinary Shares</t>
        </is>
      </c>
      <c r="C50" s="22" t="n">
        <v>46324.60677083334</v>
      </c>
      <c r="D50" s="22" t="n">
        <v>46324.3984375</v>
      </c>
      <c r="E50" s="17" t="n">
        <v>320.034243</v>
      </c>
      <c r="F50" s="16" t="n">
        <v>26.078334421</v>
      </c>
      <c r="G50" s="17">
        <f>E50*F50</f>
        <v/>
      </c>
      <c r="H50" s="22" t="n">
        <v>46324.68523148148</v>
      </c>
      <c r="I50" s="22" t="n">
        <v>46324.47689814815</v>
      </c>
      <c r="J50" s="17" t="n">
        <v>313.76</v>
      </c>
      <c r="K50" s="17">
        <f>IF(ISNUMBER(J50),J50*F50,"")</f>
        <v/>
      </c>
      <c r="L50" s="23">
        <f>IF(ISNUMBER(J50),K50-G50,"")</f>
        <v/>
      </c>
      <c r="M50" s="24">
        <f>IF(ISNUMBER(J50),L50/G50,"")</f>
        <v/>
      </c>
      <c r="N50" s="25">
        <f>IF(ISNUMBER(H50),H50-C50,"")</f>
        <v/>
      </c>
      <c r="O50" s="6" t="inlineStr">
        <is>
          <t>trailing stop</t>
        </is>
      </c>
      <c r="P50" s="6" t="inlineStr">
        <is>
          <t>Closed</t>
        </is>
      </c>
    </row>
    <row r="51">
      <c r="A51" s="6" t="inlineStr">
        <is>
          <t>TMO</t>
        </is>
      </c>
      <c r="B51" s="6" t="inlineStr">
        <is>
          <t>Thermo Fisher Scientific, Inc.</t>
        </is>
      </c>
      <c r="C51" s="22" t="n">
        <v>46324.60688657407</v>
      </c>
      <c r="D51" s="22" t="n">
        <v>46324.39855324074</v>
      </c>
      <c r="E51" s="17" t="n">
        <v>704.202253</v>
      </c>
      <c r="F51" s="16" t="n">
        <v>11.851651941</v>
      </c>
      <c r="G51" s="17">
        <f>E51*F51</f>
        <v/>
      </c>
      <c r="H51" s="22" t="n"/>
      <c r="I51" s="22" t="n"/>
      <c r="J51" s="17" t="n"/>
      <c r="K51" s="17">
        <f>IF(ISNUMBER(J51),J51*F51,"")</f>
        <v/>
      </c>
      <c r="L51" s="23">
        <f>IF(ISNUMBER(J51),K51-G51,"")</f>
        <v/>
      </c>
      <c r="M51" s="24">
        <f>IF(ISNUMBER(J51),L51/G51,"")</f>
        <v/>
      </c>
      <c r="N51" s="25">
        <f>IF(ISNUMBER(H51),H51-C51,"")</f>
        <v/>
      </c>
      <c r="O51" s="6" t="n"/>
      <c r="P51" s="6" t="inlineStr">
        <is>
          <t>Open</t>
        </is>
      </c>
    </row>
    <row r="52">
      <c r="A52" s="6" t="inlineStr">
        <is>
          <t>MCK</t>
        </is>
      </c>
      <c r="B52" s="6" t="inlineStr">
        <is>
          <t>McKesson Corporation</t>
        </is>
      </c>
      <c r="C52" s="22" t="n">
        <v>46324.60704861111</v>
      </c>
      <c r="D52" s="22" t="n">
        <v>46324.39871527778</v>
      </c>
      <c r="E52" s="17" t="n">
        <v>975.351467</v>
      </c>
      <c r="F52" s="16" t="n">
        <v>8.556874402</v>
      </c>
      <c r="G52" s="17">
        <f>E52*F52</f>
        <v/>
      </c>
      <c r="H52" s="22" t="n"/>
      <c r="I52" s="22" t="n"/>
      <c r="J52" s="17" t="n"/>
      <c r="K52" s="17">
        <f>IF(ISNUMBER(J52),J52*F52,"")</f>
        <v/>
      </c>
      <c r="L52" s="23">
        <f>IF(ISNUMBER(J52),K52-G52,"")</f>
        <v/>
      </c>
      <c r="M52" s="24">
        <f>IF(ISNUMBER(J52),L52/G52,"")</f>
        <v/>
      </c>
      <c r="N52" s="25">
        <f>IF(ISNUMBER(H52),H52-C52,"")</f>
        <v/>
      </c>
      <c r="O52" s="6" t="n"/>
      <c r="P52" s="6" t="inlineStr">
        <is>
          <t>Open</t>
        </is>
      </c>
    </row>
    <row r="53">
      <c r="A53" s="6" t="inlineStr">
        <is>
          <t>NTRA</t>
        </is>
      </c>
      <c r="B53" s="6" t="inlineStr">
        <is>
          <t>Natera, Inc. Common Stock</t>
        </is>
      </c>
      <c r="C53" s="22" t="n">
        <v>46324.60716435185</v>
      </c>
      <c r="D53" s="22" t="n">
        <v>46324.39883101852</v>
      </c>
      <c r="E53" s="17" t="n">
        <v>424.844876</v>
      </c>
      <c r="F53" s="16" t="n">
        <v>19.644723215</v>
      </c>
      <c r="G53" s="17">
        <f>E53*F53</f>
        <v/>
      </c>
      <c r="H53" s="22" t="n"/>
      <c r="I53" s="22" t="n"/>
      <c r="J53" s="17" t="n"/>
      <c r="K53" s="17">
        <f>IF(ISNUMBER(J53),J53*F53,"")</f>
        <v/>
      </c>
      <c r="L53" s="23">
        <f>IF(ISNUMBER(J53),K53-G53,"")</f>
        <v/>
      </c>
      <c r="M53" s="24">
        <f>IF(ISNUMBER(J53),L53/G53,"")</f>
        <v/>
      </c>
      <c r="N53" s="25">
        <f>IF(ISNUMBER(H53),H53-C53,"")</f>
        <v/>
      </c>
      <c r="O53" s="6" t="n"/>
      <c r="P53" s="6" t="inlineStr">
        <is>
          <t>Open</t>
        </is>
      </c>
    </row>
    <row r="54">
      <c r="A54" s="6" t="inlineStr">
        <is>
          <t>MA</t>
        </is>
      </c>
      <c r="B54" s="6" t="inlineStr">
        <is>
          <t>Mastercard Incorporated</t>
        </is>
      </c>
      <c r="C54" s="22" t="n">
        <v>46324.60722222222</v>
      </c>
      <c r="D54" s="22" t="n">
        <v>46324.39888888889</v>
      </c>
      <c r="E54" s="17" t="n">
        <v>639.369739</v>
      </c>
      <c r="F54" s="16" t="n">
        <v>13.053417297</v>
      </c>
      <c r="G54" s="17">
        <f>E54*F54</f>
        <v/>
      </c>
      <c r="H54" s="22" t="n"/>
      <c r="I54" s="22" t="n"/>
      <c r="J54" s="17" t="n"/>
      <c r="K54" s="17">
        <f>IF(ISNUMBER(J54),J54*F54,"")</f>
        <v/>
      </c>
      <c r="L54" s="23">
        <f>IF(ISNUMBER(J54),K54-G54,"")</f>
        <v/>
      </c>
      <c r="M54" s="24">
        <f>IF(ISNUMBER(J54),L54/G54,"")</f>
        <v/>
      </c>
      <c r="N54" s="25">
        <f>IF(ISNUMBER(H54),H54-C54,"")</f>
        <v/>
      </c>
      <c r="O54" s="6" t="n"/>
      <c r="P54" s="6" t="inlineStr">
        <is>
          <t>Open</t>
        </is>
      </c>
    </row>
    <row r="55">
      <c r="A55" s="6" t="inlineStr">
        <is>
          <t>VEEV</t>
        </is>
      </c>
      <c r="B55" s="6" t="inlineStr">
        <is>
          <t>Veeva Systems Inc.</t>
        </is>
      </c>
      <c r="C55" s="22" t="n">
        <v>46324.67833333334</v>
      </c>
      <c r="D55" s="22" t="n">
        <v>46324.47</v>
      </c>
      <c r="E55" s="17" t="n">
        <v>311.71</v>
      </c>
      <c r="F55" s="16" t="n">
        <v>2.132719514</v>
      </c>
      <c r="G55" s="17">
        <f>E55*F55</f>
        <v/>
      </c>
      <c r="H55" s="22" t="n"/>
      <c r="I55" s="22" t="n"/>
      <c r="J55" s="17" t="n"/>
      <c r="K55" s="17">
        <f>IF(ISNUMBER(J55),J55*F55,"")</f>
        <v/>
      </c>
      <c r="L55" s="23">
        <f>IF(ISNUMBER(J55),K55-G55,"")</f>
        <v/>
      </c>
      <c r="M55" s="24">
        <f>IF(ISNUMBER(J55),L55/G55,"")</f>
        <v/>
      </c>
      <c r="N55" s="25">
        <f>IF(ISNUMBER(H55),H55-C55,"")</f>
        <v/>
      </c>
      <c r="O55" s="6" t="n"/>
      <c r="P55" s="6" t="inlineStr">
        <is>
          <t>Open</t>
        </is>
      </c>
    </row>
    <row r="56">
      <c r="A56" s="6" t="inlineStr">
        <is>
          <t>ABBV</t>
        </is>
      </c>
      <c r="B56" s="6" t="inlineStr">
        <is>
          <t>ABBVIE INC.</t>
        </is>
      </c>
      <c r="C56" s="22" t="n">
        <v>46324.67834490741</v>
      </c>
      <c r="D56" s="22" t="n">
        <v>46324.47001157407</v>
      </c>
      <c r="E56" s="17" t="n">
        <v>290.24</v>
      </c>
      <c r="F56" s="16" t="n">
        <v>2.290483737</v>
      </c>
      <c r="G56" s="17">
        <f>E56*F56</f>
        <v/>
      </c>
      <c r="H56" s="22" t="n"/>
      <c r="I56" s="22" t="n"/>
      <c r="J56" s="17" t="n"/>
      <c r="K56" s="17">
        <f>IF(ISNUMBER(J56),J56*F56,"")</f>
        <v/>
      </c>
      <c r="L56" s="23">
        <f>IF(ISNUMBER(J56),K56-G56,"")</f>
        <v/>
      </c>
      <c r="M56" s="24">
        <f>IF(ISNUMBER(J56),L56/G56,"")</f>
        <v/>
      </c>
      <c r="N56" s="25">
        <f>IF(ISNUMBER(H56),H56-C56,"")</f>
        <v/>
      </c>
      <c r="O56" s="6" t="n"/>
      <c r="P56" s="6" t="inlineStr">
        <is>
          <t>Open</t>
        </is>
      </c>
    </row>
    <row r="57">
      <c r="A57" s="6" t="inlineStr">
        <is>
          <t>AVTR</t>
        </is>
      </c>
      <c r="B57" s="6" t="inlineStr">
        <is>
          <t>Avantor, Inc.</t>
        </is>
      </c>
      <c r="C57" s="22" t="n">
        <v>46324.67834490741</v>
      </c>
      <c r="D57" s="22" t="n">
        <v>46324.47001157407</v>
      </c>
      <c r="E57" s="17" t="n">
        <v>16.49</v>
      </c>
      <c r="F57" s="16" t="n">
        <v>40.314736203</v>
      </c>
      <c r="G57" s="17">
        <f>E57*F57</f>
        <v/>
      </c>
      <c r="H57" s="22" t="n"/>
      <c r="I57" s="22" t="n"/>
      <c r="J57" s="17" t="n"/>
      <c r="K57" s="17">
        <f>IF(ISNUMBER(J57),J57*F57,"")</f>
        <v/>
      </c>
      <c r="L57" s="23">
        <f>IF(ISNUMBER(J57),K57-G57,"")</f>
        <v/>
      </c>
      <c r="M57" s="24">
        <f>IF(ISNUMBER(J57),L57/G57,"")</f>
        <v/>
      </c>
      <c r="N57" s="25">
        <f>IF(ISNUMBER(H57),H57-C57,"")</f>
        <v/>
      </c>
      <c r="O57" s="6" t="n"/>
      <c r="P57" s="6" t="inlineStr">
        <is>
          <t>Open</t>
        </is>
      </c>
    </row>
    <row r="58">
      <c r="A58" s="6" t="inlineStr">
        <is>
          <t>XOM</t>
        </is>
      </c>
      <c r="B58" s="6" t="inlineStr">
        <is>
          <t>ExxonMobil Holdings Corporation</t>
        </is>
      </c>
      <c r="C58" s="22" t="n">
        <v>46324.67834490741</v>
      </c>
      <c r="D58" s="22" t="n">
        <v>46324.47001157407</v>
      </c>
      <c r="E58" s="17" t="n">
        <v>181.72</v>
      </c>
      <c r="F58" s="16" t="n">
        <v>3.658320493</v>
      </c>
      <c r="G58" s="17">
        <f>E58*F58</f>
        <v/>
      </c>
      <c r="H58" s="22" t="n"/>
      <c r="I58" s="22" t="n"/>
      <c r="J58" s="17" t="n"/>
      <c r="K58" s="17">
        <f>IF(ISNUMBER(J58),J58*F58,"")</f>
        <v/>
      </c>
      <c r="L58" s="23">
        <f>IF(ISNUMBER(J58),K58-G58,"")</f>
        <v/>
      </c>
      <c r="M58" s="24">
        <f>IF(ISNUMBER(J58),L58/G58,"")</f>
        <v/>
      </c>
      <c r="N58" s="25">
        <f>IF(ISNUMBER(H58),H58-C58,"")</f>
        <v/>
      </c>
      <c r="O58" s="6" t="n"/>
      <c r="P58" s="6" t="inlineStr">
        <is>
          <t>Open</t>
        </is>
      </c>
    </row>
    <row r="59">
      <c r="A59" s="6" t="inlineStr">
        <is>
          <t>SHEL</t>
        </is>
      </c>
      <c r="B59" s="6" t="inlineStr">
        <is>
          <t>Shell plc American Depositary Shares (Each represents two Ordinary shares)</t>
        </is>
      </c>
      <c r="C59" s="22" t="n">
        <v>46324.67835648148</v>
      </c>
      <c r="D59" s="22" t="n">
        <v>46324.47002314815</v>
      </c>
      <c r="E59" s="17" t="n">
        <v>107.49</v>
      </c>
      <c r="F59" s="16" t="n">
        <v>6.184668341</v>
      </c>
      <c r="G59" s="17">
        <f>E59*F59</f>
        <v/>
      </c>
      <c r="H59" s="22" t="n"/>
      <c r="I59" s="22" t="n"/>
      <c r="J59" s="17" t="n"/>
      <c r="K59" s="17">
        <f>IF(ISNUMBER(J59),J59*F59,"")</f>
        <v/>
      </c>
      <c r="L59" s="23">
        <f>IF(ISNUMBER(J59),K59-G59,"")</f>
        <v/>
      </c>
      <c r="M59" s="24">
        <f>IF(ISNUMBER(J59),L59/G59,"")</f>
        <v/>
      </c>
      <c r="N59" s="25">
        <f>IF(ISNUMBER(H59),H59-C59,"")</f>
        <v/>
      </c>
      <c r="O59" s="6" t="n"/>
      <c r="P59" s="6" t="inlineStr">
        <is>
          <t>Open</t>
        </is>
      </c>
    </row>
    <row r="60">
      <c r="A60" s="6" t="inlineStr">
        <is>
          <t>DUK</t>
        </is>
      </c>
      <c r="B60" s="6" t="inlineStr">
        <is>
          <t>Duke Energy Corporation</t>
        </is>
      </c>
      <c r="C60" s="22" t="n">
        <v>46324.67835648148</v>
      </c>
      <c r="D60" s="22" t="n">
        <v>46324.47002314815</v>
      </c>
      <c r="E60" s="17" t="n">
        <v>125.74</v>
      </c>
      <c r="F60" s="16" t="n">
        <v>5.287020836</v>
      </c>
      <c r="G60" s="17">
        <f>E60*F60</f>
        <v/>
      </c>
      <c r="H60" s="22" t="n"/>
      <c r="I60" s="22" t="n"/>
      <c r="J60" s="17" t="n"/>
      <c r="K60" s="17">
        <f>IF(ISNUMBER(J60),J60*F60,"")</f>
        <v/>
      </c>
      <c r="L60" s="23">
        <f>IF(ISNUMBER(J60),K60-G60,"")</f>
        <v/>
      </c>
      <c r="M60" s="24">
        <f>IF(ISNUMBER(J60),L60/G60,"")</f>
        <v/>
      </c>
      <c r="N60" s="25">
        <f>IF(ISNUMBER(H60),H60-C60,"")</f>
        <v/>
      </c>
      <c r="O60" s="6" t="n"/>
      <c r="P60" s="6" t="inlineStr">
        <is>
          <t>Open</t>
        </is>
      </c>
    </row>
    <row r="61">
      <c r="A61" s="6" t="inlineStr">
        <is>
          <t>DT</t>
        </is>
      </c>
      <c r="B61" s="6" t="inlineStr">
        <is>
          <t>Dynatrace, Inc.</t>
        </is>
      </c>
      <c r="C61" s="22" t="n">
        <v>46324.67835648148</v>
      </c>
      <c r="D61" s="22" t="n">
        <v>46324.47002314815</v>
      </c>
      <c r="E61" s="17" t="n">
        <v>60.75</v>
      </c>
      <c r="F61" s="16" t="n">
        <v>10.943045267</v>
      </c>
      <c r="G61" s="17">
        <f>E61*F61</f>
        <v/>
      </c>
      <c r="H61" s="22" t="n"/>
      <c r="I61" s="22" t="n"/>
      <c r="J61" s="17" t="n"/>
      <c r="K61" s="17">
        <f>IF(ISNUMBER(J61),J61*F61,"")</f>
        <v/>
      </c>
      <c r="L61" s="23">
        <f>IF(ISNUMBER(J61),K61-G61,"")</f>
        <v/>
      </c>
      <c r="M61" s="24">
        <f>IF(ISNUMBER(J61),L61/G61,"")</f>
        <v/>
      </c>
      <c r="N61" s="25">
        <f>IF(ISNUMBER(H61),H61-C61,"")</f>
        <v/>
      </c>
      <c r="O61" s="6" t="n"/>
      <c r="P61" s="6" t="inlineStr">
        <is>
          <t>Open</t>
        </is>
      </c>
    </row>
    <row r="62">
      <c r="A62" s="6" t="inlineStr">
        <is>
          <t>KR</t>
        </is>
      </c>
      <c r="B62" s="6" t="inlineStr">
        <is>
          <t>The Kroger Co.</t>
        </is>
      </c>
      <c r="C62" s="22" t="n">
        <v>46324.67835648148</v>
      </c>
      <c r="D62" s="22" t="n">
        <v>46324.47002314815</v>
      </c>
      <c r="E62" s="17" t="n">
        <v>65.48</v>
      </c>
      <c r="F62" s="16" t="n">
        <v>10.152565668</v>
      </c>
      <c r="G62" s="17">
        <f>E62*F62</f>
        <v/>
      </c>
      <c r="H62" s="22" t="n"/>
      <c r="I62" s="22" t="n"/>
      <c r="J62" s="17" t="n"/>
      <c r="K62" s="17">
        <f>IF(ISNUMBER(J62),J62*F62,"")</f>
        <v/>
      </c>
      <c r="L62" s="23">
        <f>IF(ISNUMBER(J62),K62-G62,"")</f>
        <v/>
      </c>
      <c r="M62" s="24">
        <f>IF(ISNUMBER(J62),L62/G62,"")</f>
        <v/>
      </c>
      <c r="N62" s="25">
        <f>IF(ISNUMBER(H62),H62-C62,"")</f>
        <v/>
      </c>
      <c r="O62" s="6" t="n"/>
      <c r="P62" s="6" t="inlineStr">
        <is>
          <t>Open</t>
        </is>
      </c>
    </row>
    <row r="63">
      <c r="A63" s="6" t="inlineStr">
        <is>
          <t>ACN</t>
        </is>
      </c>
      <c r="B63" s="6" t="inlineStr">
        <is>
          <t>Accenture PLC</t>
        </is>
      </c>
      <c r="C63" s="22" t="n">
        <v>46324.67835648148</v>
      </c>
      <c r="D63" s="22" t="n">
        <v>46324.47002314815</v>
      </c>
      <c r="E63" s="17" t="n">
        <v>243.84</v>
      </c>
      <c r="F63" s="16" t="n">
        <v>2.726336942</v>
      </c>
      <c r="G63" s="17">
        <f>E63*F63</f>
        <v/>
      </c>
      <c r="H63" s="22" t="n"/>
      <c r="I63" s="22" t="n"/>
      <c r="J63" s="17" t="n"/>
      <c r="K63" s="17">
        <f>IF(ISNUMBER(J63),J63*F63,"")</f>
        <v/>
      </c>
      <c r="L63" s="23">
        <f>IF(ISNUMBER(J63),K63-G63,"")</f>
        <v/>
      </c>
      <c r="M63" s="24">
        <f>IF(ISNUMBER(J63),L63/G63,"")</f>
        <v/>
      </c>
      <c r="N63" s="25">
        <f>IF(ISNUMBER(H63),H63-C63,"")</f>
        <v/>
      </c>
      <c r="O63" s="6" t="n"/>
      <c r="P63" s="6" t="inlineStr">
        <is>
          <t>Open</t>
        </is>
      </c>
    </row>
    <row r="64">
      <c r="A64" s="6" t="inlineStr">
        <is>
          <t>ILMN</t>
        </is>
      </c>
      <c r="B64" s="6" t="inlineStr">
        <is>
          <t>Illumina, Inc. Common Stock</t>
        </is>
      </c>
      <c r="C64" s="22" t="n">
        <v>46324.67835648148</v>
      </c>
      <c r="D64" s="22" t="n">
        <v>46324.47002314815</v>
      </c>
      <c r="E64" s="17" t="n">
        <v>288.56</v>
      </c>
      <c r="F64" s="16" t="n">
        <v>2.303818963</v>
      </c>
      <c r="G64" s="17">
        <f>E64*F64</f>
        <v/>
      </c>
      <c r="H64" s="22" t="n"/>
      <c r="I64" s="22" t="n"/>
      <c r="J64" s="17" t="n"/>
      <c r="K64" s="17">
        <f>IF(ISNUMBER(J64),J64*F64,"")</f>
        <v/>
      </c>
      <c r="L64" s="23">
        <f>IF(ISNUMBER(J64),K64-G64,"")</f>
        <v/>
      </c>
      <c r="M64" s="24">
        <f>IF(ISNUMBER(J64),L64/G64,"")</f>
        <v/>
      </c>
      <c r="N64" s="25">
        <f>IF(ISNUMBER(H64),H64-C64,"")</f>
        <v/>
      </c>
      <c r="O64" s="6" t="n"/>
      <c r="P64" s="6" t="inlineStr">
        <is>
          <t>Open</t>
        </is>
      </c>
    </row>
    <row r="65">
      <c r="A65" s="6" t="inlineStr">
        <is>
          <t>LIN</t>
        </is>
      </c>
      <c r="B65" s="6" t="inlineStr">
        <is>
          <t>Linde plc Ordinary Shares</t>
        </is>
      </c>
      <c r="C65" s="22" t="n">
        <v>46324.67836805555</v>
      </c>
      <c r="D65" s="22" t="n">
        <v>46324.47003472222</v>
      </c>
      <c r="E65" s="17" t="n">
        <v>501.46</v>
      </c>
      <c r="F65" s="16" t="n">
        <v>1.325708929</v>
      </c>
      <c r="G65" s="17">
        <f>E65*F65</f>
        <v/>
      </c>
      <c r="H65" s="22" t="n"/>
      <c r="I65" s="22" t="n"/>
      <c r="J65" s="17" t="n"/>
      <c r="K65" s="17">
        <f>IF(ISNUMBER(J65),J65*F65,"")</f>
        <v/>
      </c>
      <c r="L65" s="23">
        <f>IF(ISNUMBER(J65),K65-G65,"")</f>
        <v/>
      </c>
      <c r="M65" s="24">
        <f>IF(ISNUMBER(J65),L65/G65,"")</f>
        <v/>
      </c>
      <c r="N65" s="25">
        <f>IF(ISNUMBER(H65),H65-C65,"")</f>
        <v/>
      </c>
      <c r="O65" s="6" t="n"/>
      <c r="P65" s="6" t="inlineStr">
        <is>
          <t>Open</t>
        </is>
      </c>
    </row>
    <row r="66">
      <c r="A66" s="6" t="inlineStr">
        <is>
          <t>EQNR</t>
        </is>
      </c>
      <c r="B66" s="6" t="inlineStr">
        <is>
          <t>Equinor ASA American Depositary Shares (Each Representing One Ordinary Share, nominal value NOK 2.50 per share)</t>
        </is>
      </c>
      <c r="C66" s="22" t="n">
        <v>46324.67839120371</v>
      </c>
      <c r="D66" s="22" t="n">
        <v>46324.47005787037</v>
      </c>
      <c r="E66" s="17" t="n">
        <v>47.09</v>
      </c>
      <c r="F66" s="16" t="n">
        <v>14.117434699</v>
      </c>
      <c r="G66" s="17">
        <f>E66*F66</f>
        <v/>
      </c>
      <c r="H66" s="22" t="n"/>
      <c r="I66" s="22" t="n"/>
      <c r="J66" s="17" t="n"/>
      <c r="K66" s="17">
        <f>IF(ISNUMBER(J66),J66*F66,"")</f>
        <v/>
      </c>
      <c r="L66" s="23">
        <f>IF(ISNUMBER(J66),K66-G66,"")</f>
        <v/>
      </c>
      <c r="M66" s="24">
        <f>IF(ISNUMBER(J66),L66/G66,"")</f>
        <v/>
      </c>
      <c r="N66" s="25">
        <f>IF(ISNUMBER(H66),H66-C66,"")</f>
        <v/>
      </c>
      <c r="O66" s="6" t="n"/>
      <c r="P66" s="6" t="inlineStr">
        <is>
          <t>Open</t>
        </is>
      </c>
    </row>
  </sheetData>
  <conditionalFormatting sqref="L2:M66">
    <cfRule type="cellIs" priority="1" operator="greaterThan" dxfId="0">
      <formula>0</formula>
    </cfRule>
  </conditionalFormatting>
  <pageMargins left="0.75" right="0.75" top="1" bottom="1" header="0.5" footer="0.5"/>
  <pageSetup orientation="portrait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 ht="30" customHeight="1">
      <c r="A1" s="5" t="inlineStr">
        <is>
          <t>Rule</t>
        </is>
      </c>
      <c r="B1" s="5" t="inlineStr">
        <is>
          <t>What it does</t>
        </is>
      </c>
    </row>
    <row r="2">
      <c r="A2" s="26" t="inlineStr">
        <is>
          <t>Master switch</t>
        </is>
      </c>
      <c r="B2" s="26" t="inlineStr">
        <is>
          <t>Weekly time machine replays the last 6 months with these rules; if it would have lost money, no new buys</t>
        </is>
      </c>
    </row>
    <row r="3">
      <c r="A3" s="26" t="inlineStr">
        <is>
          <t>Buy</t>
        </is>
      </c>
      <c r="B3" s="26" t="inlineStr">
        <is>
          <t>4 or 5 of 5 green, time machine and data-is-real green (vetoes), nothing red, not already held; funds/ETFs skipped</t>
        </is>
      </c>
    </row>
    <row r="4">
      <c r="A4" s="26" t="inlineStr">
        <is>
          <t>Cash only</t>
        </is>
      </c>
      <c r="B4" s="26" t="inlineStr">
        <is>
          <t>Never uses margin</t>
        </is>
      </c>
    </row>
    <row r="5">
      <c r="A5" s="26" t="inlineStr">
        <is>
          <t>No buys before close</t>
        </is>
      </c>
      <c r="B5" s="26" t="inlineStr">
        <is>
          <t>Last 30 minutes of the session: sells only</t>
        </is>
      </c>
    </row>
    <row r="6">
      <c r="A6" s="26" t="inlineStr">
        <is>
          <t>Daily loss guard</t>
        </is>
      </c>
      <c r="B6" s="26" t="inlineStr">
        <is>
          <t>No new buys on a day the account is down 5% or more</t>
        </is>
      </c>
    </row>
    <row r="7">
      <c r="A7" s="26" t="inlineStr">
        <is>
          <t>Exit: 3 of 5 green</t>
        </is>
      </c>
      <c r="B7" s="26" t="inlineStr">
        <is>
          <t>Sell half, once (not again within 3 days)</t>
        </is>
      </c>
    </row>
    <row r="8">
      <c r="A8" s="26" t="inlineStr">
        <is>
          <t>Exit: 2 or fewer of 5, or time machine red</t>
        </is>
      </c>
      <c r="B8" s="26" t="inlineStr">
        <is>
          <t>Sell everything</t>
        </is>
      </c>
    </row>
    <row r="9">
      <c r="A9" s="26" t="inlineStr">
        <is>
          <t>Sell line</t>
        </is>
      </c>
      <c r="B9" s="26" t="inlineStr">
        <is>
          <t>5% below the highest price since buying, never lower than 5% under the buy price (bought 100, high 200: sells at 190). Also kept as a real Alpaca stop order that moves up with the price</t>
        </is>
      </c>
    </row>
    <row r="10">
      <c r="A10" s="26" t="inlineStr">
        <is>
          <t>Evening</t>
        </is>
      </c>
      <c r="B10" s="26" t="inlineStr">
        <is>
          <t>In the last 30 minutes before the close, everything up less than +5% is sold; +5% or more stays overnight. No buys in the last 30 minutes</t>
        </is>
      </c>
    </row>
    <row r="11">
      <c r="A11" s="26" t="inlineStr">
        <is>
          <t>Buy loop</t>
        </is>
      </c>
      <c r="B11" s="26" t="inlineStr">
        <is>
          <t>Each buy uses 8.33% of the cash available at that moment, repeated for every buy-ready stock (up to 100 stocks, orders of at least $5); never buys back a stock sold the same day</t>
        </is>
      </c>
    </row>
    <row r="12">
      <c r="A12" s="26" t="inlineStr">
        <is>
          <t>Bad day</t>
        </is>
      </c>
      <c r="B12" s="26" t="inlineStr">
        <is>
          <t>Down 3% today and not 5 of 5 green: sell everything</t>
        </is>
      </c>
    </row>
    <row r="13">
      <c r="A13" s="26" t="inlineStr">
        <is>
          <t>Take profit</t>
        </is>
      </c>
      <c r="B13" s="26" t="inlineStr">
        <is>
          <t>Off: winners keep running until the sell line or the close</t>
        </is>
      </c>
    </row>
    <row r="14">
      <c r="A14" s="26" t="inlineStr">
        <is>
          <t>Scope</t>
        </is>
      </c>
      <c r="B14" s="26" t="inlineStr">
        <is>
          <t>Only positions the auto-trader bought (client order ID starts with tdagent-)</t>
        </is>
      </c>
    </row>
    <row r="15">
      <c r="A15" s="26" t="inlineStr">
        <is>
          <t>Check 1 · Data is real</t>
        </is>
      </c>
      <c r="B15" s="26" t="inlineStr">
        <is>
          <t>Price agrees across trade, quote, minute, hourly and daily bars; history has no broken bars or holes</t>
        </is>
      </c>
    </row>
    <row r="16">
      <c r="A16" s="26" t="inlineStr">
        <is>
          <t>Check 2 · Organic</t>
        </is>
      </c>
      <c r="B16" s="26" t="inlineStr">
        <is>
          <t>No volume pump without news, no one-day jump doing the work, no gaps, no pump-and-fade, not thin</t>
        </is>
      </c>
    </row>
    <row r="17">
      <c r="A17" s="26" t="inlineStr">
        <is>
          <t>Check 3 · Prediction</t>
        </is>
      </c>
      <c r="B17" s="26" t="inlineStr">
        <is>
          <t>5-trading-day momentum call with a volatility range; green only when it leans up</t>
        </is>
      </c>
    </row>
    <row r="18">
      <c r="A18" s="26" t="inlineStr">
        <is>
          <t>Check 4 · News</t>
        </is>
      </c>
      <c r="B18" s="26" t="inlineStr">
        <is>
          <t>Headlines in the last 72 hours scored for high-impact words against today's move</t>
        </is>
      </c>
    </row>
    <row r="19">
      <c r="A19" s="26" t="inlineStr">
        <is>
          <t>Check 5 · Time machine</t>
        </is>
      </c>
      <c r="B19" s="26" t="inlineStr">
        <is>
          <t>Replays the stock's past year: on days it looked green, did it rise over the next 5 trading days? Green at 55%+ hit rate and positive average</t>
        </is>
      </c>
    </row>
  </sheetData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2026-10-29T15:26:52Z</dcterms:created>
  <dcterms:modified xsi:type="dcterms:W3CDTF">2026-10-29T15:26:52Z</dcterms:modified>
</cp:coreProperties>
</file>