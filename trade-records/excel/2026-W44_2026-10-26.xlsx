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14" headerRowCount="1">
  <autoFilter ref="A1:BA114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74" headerRowCount="1">
  <autoFilter ref="A1:P74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46324.83895833333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46324.630625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COUNTIF(Orders!$E$2:$E$114,"BUY")+COUNTIF(Orders!$E$2:$E$114,"SELL")</f>
        <v/>
      </c>
    </row>
    <row r="9">
      <c r="A9" s="6" t="inlineStr">
        <is>
          <t>Buy orders</t>
        </is>
      </c>
      <c r="B9" s="7">
        <f>COUNTIF(Orders!$E$2:$E$114,"BUY")</f>
        <v/>
      </c>
    </row>
    <row r="10">
      <c r="A10" s="6" t="inlineStr">
        <is>
          <t>Sell orders</t>
        </is>
      </c>
      <c r="B10" s="7">
        <f>COUNTIF(Orders!$E$2:$E$114,"SELL")</f>
        <v/>
      </c>
    </row>
    <row r="11">
      <c r="A11" s="6" t="inlineStr">
        <is>
          <t>Filled orders</t>
        </is>
      </c>
      <c r="B11" s="7">
        <f>COUNTIF(Orders!$I$2:$I$114,"filled")</f>
        <v/>
      </c>
    </row>
    <row r="12">
      <c r="A12" s="6" t="inlineStr">
        <is>
          <t>Total bought $</t>
        </is>
      </c>
      <c r="B12" s="8">
        <f>SUMIFS(Orders!$L$2:$L$114,Orders!$E$2:$E$114,"BUY")</f>
        <v/>
      </c>
    </row>
    <row r="13">
      <c r="A13" s="6" t="inlineStr">
        <is>
          <t>Total sold $</t>
        </is>
      </c>
      <c r="B13" s="8">
        <f>SUMIFS(Orders!$L$2:$L$114,Orders!$E$2:$E$114,"SELL")</f>
        <v/>
      </c>
    </row>
    <row r="14">
      <c r="A14" s="6" t="inlineStr">
        <is>
          <t>Closed round trips</t>
        </is>
      </c>
      <c r="B14" s="7">
        <f>COUNTIF('Round trips'!$P$2:$P$74,"Closed")</f>
        <v/>
      </c>
    </row>
    <row r="15">
      <c r="A15" s="6" t="inlineStr">
        <is>
          <t>Open lots</t>
        </is>
      </c>
      <c r="B15" s="7">
        <f>COUNTIF('Round trips'!$P$2:$P$74,"Open")</f>
        <v/>
      </c>
    </row>
    <row r="16">
      <c r="A16" s="6" t="inlineStr">
        <is>
          <t>Realized P/L $</t>
        </is>
      </c>
      <c r="B16" s="9">
        <f>SUM('Round trips'!$L$2:$L$74)</f>
        <v/>
      </c>
    </row>
    <row r="17">
      <c r="A17" s="6" t="inlineStr">
        <is>
          <t>Winning round trips</t>
        </is>
      </c>
      <c r="B17" s="7">
        <f>COUNTIFS('Round trips'!$P$2:$P$74,"Closed",'Round trips'!$L$2:$L$74,"&gt;0")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14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  <row r="106">
      <c r="A106" s="12" t="n">
        <v>105</v>
      </c>
      <c r="B106" s="13" t="n">
        <v>46324.7149074074</v>
      </c>
      <c r="C106" s="13" t="n">
        <v>46324.50657407408</v>
      </c>
      <c r="D106" s="13" t="n">
        <v>46324.67324074074</v>
      </c>
      <c r="E106" s="14" t="inlineStr">
        <is>
          <t>BUY</t>
        </is>
      </c>
      <c r="F106" s="6" t="inlineStr">
        <is>
          <t>EBAY</t>
        </is>
      </c>
      <c r="G106" s="15" t="inlineStr">
        <is>
          <t>eBay Inc. Common Stock</t>
        </is>
      </c>
      <c r="H106" s="6" t="inlineStr">
        <is>
          <t>NASDAQ</t>
        </is>
      </c>
      <c r="I106" s="6" t="inlineStr">
        <is>
          <t>filled</t>
        </is>
      </c>
      <c r="J106" s="16" t="n">
        <v>9.638632618999999</v>
      </c>
      <c r="K106" s="17" t="n">
        <v>121.4</v>
      </c>
      <c r="L106" s="17">
        <f>IF(AND(ISNUMBER(J106),ISNUMBER(K106)),J106*K106,"")</f>
        <v/>
      </c>
      <c r="M106" s="17" t="n">
        <v>1170.14</v>
      </c>
      <c r="N106" s="16" t="n"/>
      <c r="O106" s="6" t="inlineStr">
        <is>
          <t>4+/5 green</t>
        </is>
      </c>
      <c r="P106" s="15" t="inlineStr">
        <is>
          <t>4 of 5 green, time machine green, rank #3, 8.33% of the $14,047.33 free cash split 12 ways</t>
        </is>
      </c>
      <c r="Q106" s="12" t="n">
        <v>4</v>
      </c>
      <c r="R106" s="6" t="inlineStr">
        <is>
          <t>ok</t>
        </is>
      </c>
      <c r="S106" s="18" t="n">
        <v>0.55</v>
      </c>
      <c r="T106" s="12" t="n">
        <v>40</v>
      </c>
      <c r="U106" s="19" t="n">
        <v>0.005500000000000001</v>
      </c>
      <c r="V106" s="19" t="n">
        <v>0.2893</v>
      </c>
      <c r="W106" s="12" t="n">
        <v>3</v>
      </c>
      <c r="X106" s="6" t="inlineStr">
        <is>
          <t>ok</t>
        </is>
      </c>
      <c r="Y106" s="19" t="n">
        <v>0.0011</v>
      </c>
      <c r="Z106" s="6" t="inlineStr">
        <is>
          <t>ok</t>
        </is>
      </c>
      <c r="AA106" s="12" t="n">
        <v>100</v>
      </c>
      <c r="AB106" s="15" t="n"/>
      <c r="AC106" s="6" t="inlineStr">
        <is>
          <t>ok</t>
        </is>
      </c>
      <c r="AD106" s="6" t="inlineStr">
        <is>
          <t>up</t>
        </is>
      </c>
      <c r="AE106" s="17" t="n">
        <v>123.4909</v>
      </c>
      <c r="AF106" s="17" t="n">
        <v>118.4136</v>
      </c>
      <c r="AG106" s="17" t="n">
        <v>128.5682</v>
      </c>
      <c r="AH106" s="20" t="n">
        <v>46331</v>
      </c>
      <c r="AI106" s="18" t="n">
        <v>0.55</v>
      </c>
      <c r="AJ106" s="6" t="inlineStr">
        <is>
          <t>watch</t>
        </is>
      </c>
      <c r="AK106" s="12" t="n">
        <v>10</v>
      </c>
      <c r="AL106" s="15" t="inlineStr">
        <is>
          <t>eBay Stock Nears 52-Week High on 2027 Growth Outlook</t>
        </is>
      </c>
      <c r="AM106" s="17" t="n">
        <v>121.46</v>
      </c>
      <c r="AN106" s="19" t="n">
        <v>0.0298</v>
      </c>
      <c r="AO106" s="17" t="n">
        <v>99391.81</v>
      </c>
      <c r="AP106" s="17" t="n">
        <v>14047.33</v>
      </c>
      <c r="AQ106" s="19" t="n">
        <v>0.0833</v>
      </c>
      <c r="AR106" s="16" t="n"/>
      <c r="AS106" s="17" t="n"/>
      <c r="AT106" s="19" t="n"/>
      <c r="AU106" s="6" t="inlineStr">
        <is>
          <t>paper</t>
        </is>
      </c>
      <c r="AV106" s="6" t="inlineStr">
        <is>
          <t>8f3a9ec6-8716-4391-8ca4-3f77ebea3507</t>
        </is>
      </c>
      <c r="AW106" s="6" t="inlineStr">
        <is>
          <t>tdagent-buy-EBAY-1793290168000</t>
        </is>
      </c>
      <c r="AX106" s="13" t="n">
        <v>46324.67324074074</v>
      </c>
      <c r="AY106" s="13" t="n">
        <v>46324.67324074074</v>
      </c>
      <c r="AZ106" s="13" t="n">
        <v>46324.67306712963</v>
      </c>
      <c r="BA106" s="6" t="n"/>
    </row>
    <row r="107">
      <c r="A107" s="12" t="n">
        <v>106</v>
      </c>
      <c r="B107" s="13" t="n">
        <v>46324.78903935185</v>
      </c>
      <c r="C107" s="13" t="n">
        <v>46324.58070601852</v>
      </c>
      <c r="D107" s="13" t="n">
        <v>46324.74737268518</v>
      </c>
      <c r="E107" s="21" t="inlineStr">
        <is>
          <t>SELL</t>
        </is>
      </c>
      <c r="F107" s="6" t="inlineStr">
        <is>
          <t>AVTR</t>
        </is>
      </c>
      <c r="G107" s="15" t="n"/>
      <c r="H107" s="6" t="n"/>
      <c r="I107" s="6" t="inlineStr">
        <is>
          <t>filled</t>
        </is>
      </c>
      <c r="J107" s="16" t="n">
        <v>40.314736203</v>
      </c>
      <c r="K107" s="17" t="n">
        <v>16.54</v>
      </c>
      <c r="L107" s="17">
        <f>IF(AND(ISNUMBER(J107),ISNUMBER(K107)),J107*K107,"")</f>
        <v/>
      </c>
      <c r="M107" s="17" t="n"/>
      <c r="N107" s="16" t="n">
        <v>40.314736203</v>
      </c>
      <c r="O107" s="6" t="inlineStr">
        <is>
          <t>stop-loss (Alpaca order)</t>
        </is>
      </c>
      <c r="P107" s="15" t="inlineStr">
        <is>
          <t>Alpaca stop order triggered at 16.55 (the stock's sell line)</t>
        </is>
      </c>
      <c r="Q107" s="12" t="n"/>
      <c r="R107" s="6" t="n"/>
      <c r="S107" s="18" t="n"/>
      <c r="T107" s="12" t="n"/>
      <c r="U107" s="19" t="n"/>
      <c r="V107" s="19" t="n"/>
      <c r="W107" s="12" t="n"/>
      <c r="X107" s="6" t="n"/>
      <c r="Y107" s="19" t="n"/>
      <c r="Z107" s="6" t="n"/>
      <c r="AA107" s="12" t="n"/>
      <c r="AB107" s="15" t="n"/>
      <c r="AC107" s="6" t="n"/>
      <c r="AD107" s="6" t="n"/>
      <c r="AE107" s="17" t="n"/>
      <c r="AF107" s="17" t="n"/>
      <c r="AG107" s="17" t="n"/>
      <c r="AH107" s="20" t="n"/>
      <c r="AI107" s="18" t="n"/>
      <c r="AJ107" s="6" t="n"/>
      <c r="AK107" s="12" t="n"/>
      <c r="AL107" s="15" t="n"/>
      <c r="AM107" s="17" t="n"/>
      <c r="AN107" s="19" t="n"/>
      <c r="AO107" s="17" t="n"/>
      <c r="AP107" s="17" t="n"/>
      <c r="AQ107" s="19" t="n"/>
      <c r="AR107" s="16" t="n"/>
      <c r="AS107" s="17" t="n"/>
      <c r="AT107" s="19" t="n"/>
      <c r="AU107" s="6" t="inlineStr">
        <is>
          <t>paper</t>
        </is>
      </c>
      <c r="AV107" s="6" t="inlineStr">
        <is>
          <t>c5898ad1-8ed5-4f96-859c-f303e2b03686</t>
        </is>
      </c>
      <c r="AW107" s="6" t="inlineStr">
        <is>
          <t>tdagent-stop-AVTR-1793291808809</t>
        </is>
      </c>
      <c r="AX107" s="13" t="n">
        <v>46324.69222222222</v>
      </c>
      <c r="AY107" s="13" t="n">
        <v>46324.74737268518</v>
      </c>
      <c r="AZ107" s="13" t="n"/>
      <c r="BA107" s="6" t="n"/>
    </row>
    <row r="108">
      <c r="A108" s="12" t="n">
        <v>107</v>
      </c>
      <c r="B108" s="13" t="n">
        <v>46324.75462962963</v>
      </c>
      <c r="C108" s="13" t="n">
        <v>46324.5462962963</v>
      </c>
      <c r="D108" s="13" t="n">
        <v>46324.71296296296</v>
      </c>
      <c r="E108" s="21" t="inlineStr">
        <is>
          <t>SELL</t>
        </is>
      </c>
      <c r="F108" s="6" t="inlineStr">
        <is>
          <t>ACN</t>
        </is>
      </c>
      <c r="G108" s="15" t="inlineStr">
        <is>
          <t>ACN</t>
        </is>
      </c>
      <c r="H108" s="6" t="inlineStr">
        <is>
          <t>NYSE</t>
        </is>
      </c>
      <c r="I108" s="6" t="inlineStr">
        <is>
          <t>filled</t>
        </is>
      </c>
      <c r="J108" s="16" t="n">
        <v>1.363168471</v>
      </c>
      <c r="K108" s="17" t="n">
        <v>245.55</v>
      </c>
      <c r="L108" s="17">
        <f>IF(AND(ISNUMBER(J108),ISNUMBER(K108)),J108*K108,"")</f>
        <v/>
      </c>
      <c r="M108" s="17" t="n"/>
      <c r="N108" s="16" t="n">
        <v>1.363168471</v>
      </c>
      <c r="O108" s="6" t="inlineStr">
        <is>
          <t>3 green: sell half</t>
        </is>
      </c>
      <c r="P108" s="15" t="inlineStr">
        <is>
          <t>3 of 5 green: start selling (half)</t>
        </is>
      </c>
      <c r="Q108" s="12" t="n">
        <v>3</v>
      </c>
      <c r="R108" s="6" t="inlineStr">
        <is>
          <t>ok</t>
        </is>
      </c>
      <c r="S108" s="18" t="n">
        <v>0.551</v>
      </c>
      <c r="T108" s="12" t="n">
        <v>49</v>
      </c>
      <c r="U108" s="19" t="n">
        <v>0.0072</v>
      </c>
      <c r="V108" s="19" t="n">
        <v>0.2893</v>
      </c>
      <c r="W108" s="12" t="n"/>
      <c r="X108" s="6" t="inlineStr">
        <is>
          <t>ok</t>
        </is>
      </c>
      <c r="Y108" s="19" t="n">
        <v>0.0014</v>
      </c>
      <c r="Z108" s="6" t="inlineStr">
        <is>
          <t>ok</t>
        </is>
      </c>
      <c r="AA108" s="12" t="n">
        <v>100</v>
      </c>
      <c r="AB108" s="15" t="n"/>
      <c r="AC108" s="6" t="inlineStr">
        <is>
          <t>watch</t>
        </is>
      </c>
      <c r="AD108" s="6" t="inlineStr">
        <is>
          <t>flat</t>
        </is>
      </c>
      <c r="AE108" s="17" t="n">
        <v>245.24</v>
      </c>
      <c r="AF108" s="17" t="n">
        <v>226.362</v>
      </c>
      <c r="AG108" s="17" t="n">
        <v>264.118</v>
      </c>
      <c r="AH108" s="20" t="n">
        <v>46331</v>
      </c>
      <c r="AI108" s="18" t="n">
        <v>0.5</v>
      </c>
      <c r="AJ108" s="6" t="inlineStr">
        <is>
          <t>watch</t>
        </is>
      </c>
      <c r="AK108" s="12" t="n">
        <v>6</v>
      </c>
      <c r="AL108" s="15" t="inlineStr">
        <is>
          <t>Accenture Recognized in 2026 Guidewire PartnerConnect Excellence Awards</t>
        </is>
      </c>
      <c r="AM108" s="17" t="n">
        <v>245.585</v>
      </c>
      <c r="AN108" s="19" t="n">
        <v>0.005699999999999999</v>
      </c>
      <c r="AO108" s="17" t="n">
        <v>99521.99000000001</v>
      </c>
      <c r="AP108" s="17" t="n">
        <v>12877.2</v>
      </c>
      <c r="AQ108" s="19" t="n">
        <v>0.0833</v>
      </c>
      <c r="AR108" s="16" t="n">
        <v>2.726336942</v>
      </c>
      <c r="AS108" s="17" t="n">
        <v>243.84</v>
      </c>
      <c r="AT108" s="19" t="n">
        <v>0.0072</v>
      </c>
      <c r="AU108" s="6" t="inlineStr">
        <is>
          <t>paper</t>
        </is>
      </c>
      <c r="AV108" s="6" t="inlineStr">
        <is>
          <t>54ffb774-a2a5-48dc-bed4-428649caa4b4</t>
        </is>
      </c>
      <c r="AW108" s="6" t="inlineStr">
        <is>
          <t>tdagent-sell-ACN-1793293599550</t>
        </is>
      </c>
      <c r="AX108" s="13" t="n">
        <v>46324.71295138889</v>
      </c>
      <c r="AY108" s="13" t="n">
        <v>46324.71296296296</v>
      </c>
      <c r="AZ108" s="13" t="n">
        <v>46324.71270833333</v>
      </c>
      <c r="BA108" s="6" t="n"/>
    </row>
    <row r="109">
      <c r="A109" s="12" t="n">
        <v>108</v>
      </c>
      <c r="B109" s="13" t="n">
        <v>46324.75886574074</v>
      </c>
      <c r="C109" s="13" t="n">
        <v>46324.5505324074</v>
      </c>
      <c r="D109" s="13" t="n">
        <v>46324.71719907408</v>
      </c>
      <c r="E109" s="21" t="inlineStr">
        <is>
          <t>SELL</t>
        </is>
      </c>
      <c r="F109" s="6" t="inlineStr">
        <is>
          <t>EQT</t>
        </is>
      </c>
      <c r="G109" s="15" t="inlineStr">
        <is>
          <t>EQT</t>
        </is>
      </c>
      <c r="H109" s="6" t="inlineStr">
        <is>
          <t>NYSE</t>
        </is>
      </c>
      <c r="I109" s="6" t="inlineStr">
        <is>
          <t>filled</t>
        </is>
      </c>
      <c r="J109" s="16" t="n">
        <v>24.950127411</v>
      </c>
      <c r="K109" s="17" t="n">
        <v>54.75</v>
      </c>
      <c r="L109" s="17">
        <f>IF(AND(ISNUMBER(J109),ISNUMBER(K109)),J109*K109,"")</f>
        <v/>
      </c>
      <c r="M109" s="17" t="n"/>
      <c r="N109" s="16" t="n">
        <v>24.950127411</v>
      </c>
      <c r="O109" s="6" t="inlineStr">
        <is>
          <t>2 or fewer green</t>
        </is>
      </c>
      <c r="P109" s="15" t="inlineStr">
        <is>
          <t>Only 2 of 5 green</t>
        </is>
      </c>
      <c r="Q109" s="12" t="n">
        <v>2</v>
      </c>
      <c r="R109" s="6" t="inlineStr">
        <is>
          <t>ok</t>
        </is>
      </c>
      <c r="S109" s="18" t="n">
        <v>0.552</v>
      </c>
      <c r="T109" s="12" t="n">
        <v>29</v>
      </c>
      <c r="U109" s="19" t="n">
        <v>0.0017</v>
      </c>
      <c r="V109" s="19" t="n">
        <v>0.2893</v>
      </c>
      <c r="W109" s="12" t="n"/>
      <c r="X109" s="6" t="inlineStr">
        <is>
          <t>ok</t>
        </is>
      </c>
      <c r="Y109" s="19" t="n">
        <v>0.0014</v>
      </c>
      <c r="Z109" s="6" t="inlineStr">
        <is>
          <t>alert</t>
        </is>
      </c>
      <c r="AA109" s="12" t="n">
        <v>60</v>
      </c>
      <c r="AB109" s="15" t="inlineStr">
        <is>
          <t>Price gapped 5.1% at an open in the last week.; Rose 4.1% then gave back most of it within hours. Looks like pump-and-fade.</t>
        </is>
      </c>
      <c r="AC109" s="6" t="inlineStr">
        <is>
          <t>watch</t>
        </is>
      </c>
      <c r="AD109" s="6" t="inlineStr">
        <is>
          <t>up</t>
        </is>
      </c>
      <c r="AE109" s="17" t="n">
        <v>55.5938</v>
      </c>
      <c r="AF109" s="17" t="n">
        <v>53.5719</v>
      </c>
      <c r="AG109" s="17" t="n">
        <v>57.6156</v>
      </c>
      <c r="AH109" s="20" t="n">
        <v>46331</v>
      </c>
      <c r="AI109" s="18" t="n">
        <v>0.54</v>
      </c>
      <c r="AJ109" s="6" t="inlineStr">
        <is>
          <t>watch</t>
        </is>
      </c>
      <c r="AK109" s="12" t="n">
        <v>6</v>
      </c>
      <c r="AL109" s="15" t="inlineStr">
        <is>
          <t>UBS Maintains Buy on EQT, Lowers Price Target to $75</t>
        </is>
      </c>
      <c r="AM109" s="17" t="n">
        <v>54.785</v>
      </c>
      <c r="AN109" s="19" t="n">
        <v>-0.0257</v>
      </c>
      <c r="AO109" s="17" t="n">
        <v>99498.22</v>
      </c>
      <c r="AP109" s="17" t="n">
        <v>13211.93</v>
      </c>
      <c r="AQ109" s="19" t="n">
        <v>0.0833</v>
      </c>
      <c r="AR109" s="16" t="n">
        <v>24.950127411</v>
      </c>
      <c r="AS109" s="17" t="n">
        <v>54.94</v>
      </c>
      <c r="AT109" s="19" t="n">
        <v>-0.0033</v>
      </c>
      <c r="AU109" s="6" t="inlineStr">
        <is>
          <t>paper</t>
        </is>
      </c>
      <c r="AV109" s="6" t="inlineStr">
        <is>
          <t>3539abf7-dadc-480f-b7ab-2912f7545db5</t>
        </is>
      </c>
      <c r="AW109" s="6" t="inlineStr">
        <is>
          <t>tdagent-sell-EQT-1793293964775</t>
        </is>
      </c>
      <c r="AX109" s="13" t="n">
        <v>46324.71717592593</v>
      </c>
      <c r="AY109" s="13" t="n">
        <v>46324.71719907408</v>
      </c>
      <c r="AZ109" s="13" t="n">
        <v>46324.71689814814</v>
      </c>
      <c r="BA109" s="6" t="n"/>
    </row>
    <row r="110">
      <c r="A110" s="12" t="n">
        <v>109</v>
      </c>
      <c r="B110" s="13" t="n">
        <v>46324.76877314815</v>
      </c>
      <c r="C110" s="13" t="n">
        <v>46324.56043981481</v>
      </c>
      <c r="D110" s="13" t="n">
        <v>46324.72710648148</v>
      </c>
      <c r="E110" s="21" t="inlineStr">
        <is>
          <t>SELL</t>
        </is>
      </c>
      <c r="F110" s="6" t="inlineStr">
        <is>
          <t>ILMN</t>
        </is>
      </c>
      <c r="G110" s="15" t="n"/>
      <c r="H110" s="6" t="n"/>
      <c r="I110" s="6" t="inlineStr">
        <is>
          <t>filled</t>
        </is>
      </c>
      <c r="J110" s="16" t="n">
        <v>2.303818963</v>
      </c>
      <c r="K110" s="17" t="n">
        <v>289.14</v>
      </c>
      <c r="L110" s="17">
        <f>IF(AND(ISNUMBER(J110),ISNUMBER(K110)),J110*K110,"")</f>
        <v/>
      </c>
      <c r="M110" s="17" t="n"/>
      <c r="N110" s="16" t="n">
        <v>2.303818963</v>
      </c>
      <c r="O110" s="6" t="inlineStr">
        <is>
          <t>stop-loss (Alpaca order)</t>
        </is>
      </c>
      <c r="P110" s="15" t="inlineStr">
        <is>
          <t>Alpaca stop order triggered at 289.95 (the stock's sell line)</t>
        </is>
      </c>
      <c r="Q110" s="12" t="n"/>
      <c r="R110" s="6" t="n"/>
      <c r="S110" s="18" t="n"/>
      <c r="T110" s="12" t="n"/>
      <c r="U110" s="19" t="n"/>
      <c r="V110" s="19" t="n"/>
      <c r="W110" s="12" t="n"/>
      <c r="X110" s="6" t="n"/>
      <c r="Y110" s="19" t="n"/>
      <c r="Z110" s="6" t="n"/>
      <c r="AA110" s="12" t="n"/>
      <c r="AB110" s="15" t="n"/>
      <c r="AC110" s="6" t="n"/>
      <c r="AD110" s="6" t="n"/>
      <c r="AE110" s="17" t="n"/>
      <c r="AF110" s="17" t="n"/>
      <c r="AG110" s="17" t="n"/>
      <c r="AH110" s="20" t="n"/>
      <c r="AI110" s="18" t="n"/>
      <c r="AJ110" s="6" t="n"/>
      <c r="AK110" s="12" t="n"/>
      <c r="AL110" s="15" t="n"/>
      <c r="AM110" s="17" t="n"/>
      <c r="AN110" s="19" t="n"/>
      <c r="AO110" s="17" t="n"/>
      <c r="AP110" s="17" t="n"/>
      <c r="AQ110" s="19" t="n"/>
      <c r="AR110" s="16" t="n"/>
      <c r="AS110" s="17" t="n"/>
      <c r="AT110" s="19" t="n"/>
      <c r="AU110" s="6" t="inlineStr">
        <is>
          <t>paper</t>
        </is>
      </c>
      <c r="AV110" s="6" t="inlineStr">
        <is>
          <t>ce4efa09-f361-4d52-9ef0-72a2d170660d</t>
        </is>
      </c>
      <c r="AW110" s="6" t="inlineStr">
        <is>
          <t>tdagent-stop-ILMN-1793293969433</t>
        </is>
      </c>
      <c r="AX110" s="13" t="n">
        <v>46324.7172337963</v>
      </c>
      <c r="AY110" s="13" t="n">
        <v>46324.72710648148</v>
      </c>
      <c r="AZ110" s="13" t="n"/>
      <c r="BA110" s="6" t="n"/>
    </row>
    <row r="111">
      <c r="A111" s="12" t="n">
        <v>110</v>
      </c>
      <c r="B111" s="13" t="n">
        <v>46324.78953703704</v>
      </c>
      <c r="C111" s="13" t="n">
        <v>46324.5812037037</v>
      </c>
      <c r="D111" s="13" t="n">
        <v>46324.74787037037</v>
      </c>
      <c r="E111" s="21" t="inlineStr">
        <is>
          <t>SELL</t>
        </is>
      </c>
      <c r="F111" s="6" t="inlineStr">
        <is>
          <t>TMO</t>
        </is>
      </c>
      <c r="G111" s="15" t="n"/>
      <c r="H111" s="6" t="n"/>
      <c r="I111" s="6" t="inlineStr">
        <is>
          <t>filled</t>
        </is>
      </c>
      <c r="J111" s="16" t="n">
        <v>11.851651941</v>
      </c>
      <c r="K111" s="17" t="n">
        <v>704.25</v>
      </c>
      <c r="L111" s="17">
        <f>IF(AND(ISNUMBER(J111),ISNUMBER(K111)),J111*K111,"")</f>
        <v/>
      </c>
      <c r="M111" s="17" t="n"/>
      <c r="N111" s="16" t="n">
        <v>11.851651941</v>
      </c>
      <c r="O111" s="6" t="inlineStr">
        <is>
          <t>stop-loss (Alpaca order)</t>
        </is>
      </c>
      <c r="P111" s="15" t="inlineStr">
        <is>
          <t>Alpaca stop order triggered at 704.35 (the stock's sell line)</t>
        </is>
      </c>
      <c r="Q111" s="12" t="n"/>
      <c r="R111" s="6" t="n"/>
      <c r="S111" s="18" t="n"/>
      <c r="T111" s="12" t="n"/>
      <c r="U111" s="19" t="n"/>
      <c r="V111" s="19" t="n"/>
      <c r="W111" s="12" t="n"/>
      <c r="X111" s="6" t="n"/>
      <c r="Y111" s="19" t="n"/>
      <c r="Z111" s="6" t="n"/>
      <c r="AA111" s="12" t="n"/>
      <c r="AB111" s="15" t="n"/>
      <c r="AC111" s="6" t="n"/>
      <c r="AD111" s="6" t="n"/>
      <c r="AE111" s="17" t="n"/>
      <c r="AF111" s="17" t="n"/>
      <c r="AG111" s="17" t="n"/>
      <c r="AH111" s="20" t="n"/>
      <c r="AI111" s="18" t="n"/>
      <c r="AJ111" s="6" t="n"/>
      <c r="AK111" s="12" t="n"/>
      <c r="AL111" s="15" t="n"/>
      <c r="AM111" s="17" t="n"/>
      <c r="AN111" s="19" t="n"/>
      <c r="AO111" s="17" t="n"/>
      <c r="AP111" s="17" t="n"/>
      <c r="AQ111" s="19" t="n"/>
      <c r="AR111" s="16" t="n"/>
      <c r="AS111" s="17" t="n"/>
      <c r="AT111" s="19" t="n"/>
      <c r="AU111" s="6" t="inlineStr">
        <is>
          <t>paper</t>
        </is>
      </c>
      <c r="AV111" s="6" t="inlineStr">
        <is>
          <t>40c48aa1-abe9-44e0-9690-d876391f8eb9</t>
        </is>
      </c>
      <c r="AW111" s="6" t="inlineStr">
        <is>
          <t>tdagent-stop-TMO-1793293970703</t>
        </is>
      </c>
      <c r="AX111" s="13" t="n">
        <v>46324.71724537037</v>
      </c>
      <c r="AY111" s="13" t="n">
        <v>46324.74787037037</v>
      </c>
      <c r="AZ111" s="13" t="n"/>
      <c r="BA111" s="6" t="n"/>
    </row>
    <row r="112">
      <c r="A112" s="12" t="n">
        <v>111</v>
      </c>
      <c r="B112" s="13" t="n">
        <v>46324.77543981482</v>
      </c>
      <c r="C112" s="13" t="n">
        <v>46324.56710648148</v>
      </c>
      <c r="D112" s="13" t="n">
        <v>46324.73377314815</v>
      </c>
      <c r="E112" s="14" t="inlineStr">
        <is>
          <t>BUY</t>
        </is>
      </c>
      <c r="F112" s="6" t="inlineStr">
        <is>
          <t>REGN</t>
        </is>
      </c>
      <c r="G112" s="15" t="inlineStr">
        <is>
          <t>Regeneron Pharmaceuticals, Inc. Common Stock</t>
        </is>
      </c>
      <c r="H112" s="6" t="inlineStr">
        <is>
          <t>NASDAQ</t>
        </is>
      </c>
      <c r="I112" s="6" t="inlineStr">
        <is>
          <t>filled</t>
        </is>
      </c>
      <c r="J112" s="16" t="n">
        <v>1.562144008</v>
      </c>
      <c r="K112" s="17" t="n">
        <v>812.87</v>
      </c>
      <c r="L112" s="17">
        <f>IF(AND(ISNUMBER(J112),ISNUMBER(K112)),J112*K112,"")</f>
        <v/>
      </c>
      <c r="M112" s="17" t="n">
        <v>1269.83</v>
      </c>
      <c r="N112" s="16" t="n"/>
      <c r="O112" s="6" t="inlineStr">
        <is>
          <t>4+/5 green</t>
        </is>
      </c>
      <c r="P112" s="15" t="inlineStr">
        <is>
          <t>5 of 5 green, time machine green, rank #4, 8.33% of the $15,244.08 free cash split 12 ways</t>
        </is>
      </c>
      <c r="Q112" s="12" t="n">
        <v>5</v>
      </c>
      <c r="R112" s="6" t="inlineStr">
        <is>
          <t>ok</t>
        </is>
      </c>
      <c r="S112" s="18" t="n">
        <v>0.59</v>
      </c>
      <c r="T112" s="12" t="n">
        <v>39</v>
      </c>
      <c r="U112" s="19" t="n">
        <v>0.0069</v>
      </c>
      <c r="V112" s="19" t="n">
        <v>0.2893</v>
      </c>
      <c r="W112" s="12" t="n">
        <v>4</v>
      </c>
      <c r="X112" s="6" t="inlineStr">
        <is>
          <t>ok</t>
        </is>
      </c>
      <c r="Y112" s="19" t="n">
        <v>0.0018</v>
      </c>
      <c r="Z112" s="6" t="inlineStr">
        <is>
          <t>ok</t>
        </is>
      </c>
      <c r="AA112" s="12" t="n">
        <v>100</v>
      </c>
      <c r="AB112" s="15" t="n"/>
      <c r="AC112" s="6" t="inlineStr">
        <is>
          <t>ok</t>
        </is>
      </c>
      <c r="AD112" s="6" t="inlineStr">
        <is>
          <t>up</t>
        </is>
      </c>
      <c r="AE112" s="17" t="n">
        <v>824.77</v>
      </c>
      <c r="AF112" s="17" t="n">
        <v>793.6451</v>
      </c>
      <c r="AG112" s="17" t="n">
        <v>855.8949</v>
      </c>
      <c r="AH112" s="20" t="n">
        <v>46331</v>
      </c>
      <c r="AI112" s="18" t="n">
        <v>0.53</v>
      </c>
      <c r="AJ112" s="6" t="inlineStr">
        <is>
          <t>ok</t>
        </is>
      </c>
      <c r="AK112" s="12" t="n">
        <v>4</v>
      </c>
      <c r="AL112" s="15" t="inlineStr">
        <is>
          <t>Canaccord Genuity Maintains Buy on Regeneron Pharmaceuticals, Raises Price Target to $922</t>
        </is>
      </c>
      <c r="AM112" s="17" t="n">
        <v>812.3200000000001</v>
      </c>
      <c r="AN112" s="19" t="n">
        <v>-0.0016</v>
      </c>
      <c r="AO112" s="17" t="n">
        <v>99345.75</v>
      </c>
      <c r="AP112" s="17" t="n">
        <v>15244.08</v>
      </c>
      <c r="AQ112" s="19" t="n">
        <v>0.0833</v>
      </c>
      <c r="AR112" s="16" t="n"/>
      <c r="AS112" s="17" t="n"/>
      <c r="AT112" s="19" t="n"/>
      <c r="AU112" s="6" t="inlineStr">
        <is>
          <t>paper</t>
        </is>
      </c>
      <c r="AV112" s="6" t="inlineStr">
        <is>
          <t>1f5a23ed-afbf-4216-8e41-ba5eccfed86a</t>
        </is>
      </c>
      <c r="AW112" s="6" t="inlineStr">
        <is>
          <t>tdagent-buy-REGN-1793295398213</t>
        </is>
      </c>
      <c r="AX112" s="13" t="n">
        <v>46324.73377314815</v>
      </c>
      <c r="AY112" s="13" t="n">
        <v>46324.73377314815</v>
      </c>
      <c r="AZ112" s="13" t="n">
        <v>46324.73350694445</v>
      </c>
      <c r="BA112" s="6" t="n"/>
    </row>
    <row r="113">
      <c r="A113" s="12" t="n">
        <v>112</v>
      </c>
      <c r="B113" s="13" t="n">
        <v>46324.81153935185</v>
      </c>
      <c r="C113" s="13" t="n">
        <v>46324.60320601852</v>
      </c>
      <c r="D113" s="13" t="n">
        <v>46324.76987268519</v>
      </c>
      <c r="E113" s="21" t="inlineStr">
        <is>
          <t>SELL</t>
        </is>
      </c>
      <c r="F113" s="6" t="inlineStr">
        <is>
          <t>LIN</t>
        </is>
      </c>
      <c r="G113" s="15" t="inlineStr">
        <is>
          <t>LIN</t>
        </is>
      </c>
      <c r="H113" s="6" t="inlineStr">
        <is>
          <t>NASDAQ</t>
        </is>
      </c>
      <c r="I113" s="6" t="inlineStr">
        <is>
          <t>filled</t>
        </is>
      </c>
      <c r="J113" s="16" t="n">
        <v>0.662854464</v>
      </c>
      <c r="K113" s="17" t="n">
        <v>502.818</v>
      </c>
      <c r="L113" s="17">
        <f>IF(AND(ISNUMBER(J113),ISNUMBER(K113)),J113*K113,"")</f>
        <v/>
      </c>
      <c r="M113" s="17" t="n"/>
      <c r="N113" s="16" t="n">
        <v>0.662854464</v>
      </c>
      <c r="O113" s="6" t="inlineStr">
        <is>
          <t>3 green: sell half</t>
        </is>
      </c>
      <c r="P113" s="15" t="inlineStr">
        <is>
          <t>3 of 5 green: start selling (half)</t>
        </is>
      </c>
      <c r="Q113" s="12" t="n">
        <v>3</v>
      </c>
      <c r="R113" s="6" t="inlineStr">
        <is>
          <t>ok</t>
        </is>
      </c>
      <c r="S113" s="18" t="n">
        <v>0.635</v>
      </c>
      <c r="T113" s="12" t="n">
        <v>52</v>
      </c>
      <c r="U113" s="19" t="n">
        <v>0.0104</v>
      </c>
      <c r="V113" s="19" t="n">
        <v>0.2893</v>
      </c>
      <c r="W113" s="12" t="n"/>
      <c r="X113" s="6" t="inlineStr">
        <is>
          <t>ok</t>
        </is>
      </c>
      <c r="Y113" s="19" t="n">
        <v>0.0003</v>
      </c>
      <c r="Z113" s="6" t="inlineStr">
        <is>
          <t>ok</t>
        </is>
      </c>
      <c r="AA113" s="12" t="n">
        <v>100</v>
      </c>
      <c r="AB113" s="15" t="n"/>
      <c r="AC113" s="6" t="inlineStr">
        <is>
          <t>watch</t>
        </is>
      </c>
      <c r="AD113" s="6" t="inlineStr">
        <is>
          <t>flat</t>
        </is>
      </c>
      <c r="AE113" s="17" t="n">
        <v>502.76</v>
      </c>
      <c r="AF113" s="17" t="n">
        <v>492.6839</v>
      </c>
      <c r="AG113" s="17" t="n">
        <v>512.8361</v>
      </c>
      <c r="AH113" s="20" t="n">
        <v>46331</v>
      </c>
      <c r="AI113" s="18" t="n">
        <v>0.5</v>
      </c>
      <c r="AJ113" s="6" t="inlineStr">
        <is>
          <t>watch</t>
        </is>
      </c>
      <c r="AK113" s="12" t="n">
        <v>9</v>
      </c>
      <c r="AL113" s="15" t="inlineStr">
        <is>
          <t>Linde Q3 2026 Earnings Call Transcript</t>
        </is>
      </c>
      <c r="AM113" s="17" t="n">
        <v>502.905</v>
      </c>
      <c r="AN113" s="19" t="n">
        <v>-0.0104</v>
      </c>
      <c r="AO113" s="17" t="n">
        <v>99432.78</v>
      </c>
      <c r="AP113" s="17" t="n">
        <v>22987.6</v>
      </c>
      <c r="AQ113" s="19" t="n">
        <v>0.0833</v>
      </c>
      <c r="AR113" s="16" t="n">
        <v>1.325708929</v>
      </c>
      <c r="AS113" s="17" t="n">
        <v>501.46</v>
      </c>
      <c r="AT113" s="19" t="n">
        <v>0.0027</v>
      </c>
      <c r="AU113" s="6" t="inlineStr">
        <is>
          <t>paper</t>
        </is>
      </c>
      <c r="AV113" s="6" t="inlineStr">
        <is>
          <t>b675bf9c-d103-4e06-b118-e159543a194b</t>
        </is>
      </c>
      <c r="AW113" s="6" t="inlineStr">
        <is>
          <t>tdagent-sell-LIN-1793298517331</t>
        </is>
      </c>
      <c r="AX113" s="13" t="n">
        <v>46324.76987268519</v>
      </c>
      <c r="AY113" s="13" t="n">
        <v>46324.76987268519</v>
      </c>
      <c r="AZ113" s="13" t="n">
        <v>46324.7696412037</v>
      </c>
      <c r="BA113" s="6" t="n"/>
    </row>
    <row r="114">
      <c r="A114" s="12" t="n">
        <v>113</v>
      </c>
      <c r="B114" s="13" t="n">
        <v>46324.83886574074</v>
      </c>
      <c r="C114" s="13" t="n">
        <v>46324.63053240741</v>
      </c>
      <c r="D114" s="13" t="n">
        <v>46324.79719907408</v>
      </c>
      <c r="E114" s="14" t="inlineStr">
        <is>
          <t>BUY</t>
        </is>
      </c>
      <c r="F114" s="6" t="inlineStr">
        <is>
          <t>MNST</t>
        </is>
      </c>
      <c r="G114" s="15" t="inlineStr">
        <is>
          <t>Monster Beverage Corporation</t>
        </is>
      </c>
      <c r="H114" s="6" t="inlineStr">
        <is>
          <t>NASDAQ</t>
        </is>
      </c>
      <c r="I114" s="6" t="inlineStr">
        <is>
          <t>filled</t>
        </is>
      </c>
      <c r="J114" s="16" t="n">
        <v>41.930066911</v>
      </c>
      <c r="K114" s="17" t="n">
        <v>46.33</v>
      </c>
      <c r="L114" s="17">
        <f>IF(AND(ISNUMBER(J114),ISNUMBER(K114)),J114*K114,"")</f>
        <v/>
      </c>
      <c r="M114" s="17" t="n">
        <v>1942.63</v>
      </c>
      <c r="N114" s="16" t="n"/>
      <c r="O114" s="6" t="inlineStr">
        <is>
          <t>4+/5 green</t>
        </is>
      </c>
      <c r="P114" s="15" t="inlineStr">
        <is>
          <t>4 of 5 green, time machine green, rank #5, 8.33% of the $23,320.90 free cash split 12 ways</t>
        </is>
      </c>
      <c r="Q114" s="12" t="n">
        <v>4</v>
      </c>
      <c r="R114" s="6" t="inlineStr">
        <is>
          <t>ok</t>
        </is>
      </c>
      <c r="S114" s="18" t="n">
        <v>0.652</v>
      </c>
      <c r="T114" s="12" t="n">
        <v>89</v>
      </c>
      <c r="U114" s="19" t="n">
        <v>0.0089</v>
      </c>
      <c r="V114" s="19" t="n">
        <v>0.2893</v>
      </c>
      <c r="W114" s="12" t="n">
        <v>5</v>
      </c>
      <c r="X114" s="6" t="inlineStr">
        <is>
          <t>ok</t>
        </is>
      </c>
      <c r="Y114" s="19" t="n">
        <v>0.0002</v>
      </c>
      <c r="Z114" s="6" t="inlineStr">
        <is>
          <t>ok</t>
        </is>
      </c>
      <c r="AA114" s="12" t="n">
        <v>100</v>
      </c>
      <c r="AB114" s="15" t="n"/>
      <c r="AC114" s="6" t="inlineStr">
        <is>
          <t>ok</t>
        </is>
      </c>
      <c r="AD114" s="6" t="inlineStr">
        <is>
          <t>up</t>
        </is>
      </c>
      <c r="AE114" s="17" t="n">
        <v>46.9591</v>
      </c>
      <c r="AF114" s="17" t="n">
        <v>45.3364</v>
      </c>
      <c r="AG114" s="17" t="n">
        <v>48.5818</v>
      </c>
      <c r="AH114" s="20" t="n">
        <v>46331</v>
      </c>
      <c r="AI114" s="18" t="n">
        <v>0.53</v>
      </c>
      <c r="AJ114" s="6" t="inlineStr">
        <is>
          <t>watch</t>
        </is>
      </c>
      <c r="AK114" s="12" t="n">
        <v>1</v>
      </c>
      <c r="AL114" s="15" t="inlineStr">
        <is>
          <t>Monster Beverage Corporation Announces Third Quarter 2026 Earnings Release Date</t>
        </is>
      </c>
      <c r="AM114" s="17" t="n">
        <v>46.32</v>
      </c>
      <c r="AN114" s="19" t="n">
        <v>0.014</v>
      </c>
      <c r="AO114" s="17" t="n">
        <v>99455.06</v>
      </c>
      <c r="AP114" s="17" t="n">
        <v>23320.9</v>
      </c>
      <c r="AQ114" s="19" t="n">
        <v>0.0833</v>
      </c>
      <c r="AR114" s="16" t="n"/>
      <c r="AS114" s="17" t="n"/>
      <c r="AT114" s="19" t="n"/>
      <c r="AU114" s="6" t="inlineStr">
        <is>
          <t>paper</t>
        </is>
      </c>
      <c r="AV114" s="6" t="inlineStr">
        <is>
          <t>3e9a5e35-8f69-42ac-88d5-32689c3ef2c2</t>
        </is>
      </c>
      <c r="AW114" s="6" t="inlineStr">
        <is>
          <t>tdagent-buy-MNST-1793300877596</t>
        </is>
      </c>
      <c r="AX114" s="13" t="n">
        <v>46324.7971875</v>
      </c>
      <c r="AY114" s="13" t="n">
        <v>46324.79719907408</v>
      </c>
      <c r="AZ114" s="13" t="n">
        <v>46324.79684027778</v>
      </c>
      <c r="BA114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74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/>
      <c r="I43" s="22" t="n"/>
      <c r="J43" s="17" t="n"/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n"/>
      <c r="P43" s="6" t="inlineStr">
        <is>
          <t>Open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/>
      <c r="I44" s="22" t="n"/>
      <c r="J44" s="17" t="n"/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n"/>
      <c r="P44" s="6" t="inlineStr">
        <is>
          <t>Open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/>
      <c r="I46" s="22" t="n"/>
      <c r="J46" s="17" t="n"/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n"/>
      <c r="P46" s="6" t="inlineStr">
        <is>
          <t>Open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/>
      <c r="I47" s="22" t="n"/>
      <c r="J47" s="17" t="n"/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n"/>
      <c r="P47" s="6" t="inlineStr">
        <is>
          <t>Open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/>
      <c r="I49" s="22" t="n"/>
      <c r="J49" s="17" t="n"/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n"/>
      <c r="P49" s="6" t="inlineStr">
        <is>
          <t>Open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>
        <v>46324.78953703704</v>
      </c>
      <c r="I51" s="22" t="n">
        <v>46324.5812037037</v>
      </c>
      <c r="J51" s="17" t="n">
        <v>704.25</v>
      </c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inlineStr">
        <is>
          <t>stop-loss (Alpaca order)</t>
        </is>
      </c>
      <c r="P51" s="6" t="inlineStr">
        <is>
          <t>Closed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/>
      <c r="I52" s="22" t="n"/>
      <c r="J52" s="17" t="n"/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n"/>
      <c r="P52" s="6" t="inlineStr">
        <is>
          <t>Open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/>
      <c r="I53" s="22" t="n"/>
      <c r="J53" s="17" t="n"/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n"/>
      <c r="P53" s="6" t="inlineStr">
        <is>
          <t>Open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/>
      <c r="I54" s="22" t="n"/>
      <c r="J54" s="17" t="n"/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n"/>
      <c r="P54" s="6" t="inlineStr">
        <is>
          <t>Open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/>
      <c r="I55" s="22" t="n"/>
      <c r="J55" s="17" t="n"/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n"/>
      <c r="P55" s="6" t="inlineStr">
        <is>
          <t>Open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/>
      <c r="I56" s="22" t="n"/>
      <c r="J56" s="17" t="n"/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n"/>
      <c r="P56" s="6" t="inlineStr">
        <is>
          <t>Open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>
        <v>46324.78903935185</v>
      </c>
      <c r="I57" s="22" t="n">
        <v>46324.58070601852</v>
      </c>
      <c r="J57" s="17" t="n">
        <v>16.54</v>
      </c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inlineStr">
        <is>
          <t>stop-loss (Alpaca order)</t>
        </is>
      </c>
      <c r="P57" s="6" t="inlineStr">
        <is>
          <t>Closed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/>
      <c r="I59" s="22" t="n"/>
      <c r="J59" s="17" t="n"/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n"/>
      <c r="P59" s="6" t="inlineStr">
        <is>
          <t>Open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/>
      <c r="I60" s="22" t="n"/>
      <c r="J60" s="17" t="n"/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n"/>
      <c r="P60" s="6" t="inlineStr">
        <is>
          <t>Open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/>
      <c r="I61" s="22" t="n"/>
      <c r="J61" s="17" t="n"/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n"/>
      <c r="P61" s="6" t="inlineStr">
        <is>
          <t>Open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/>
      <c r="I62" s="22" t="n"/>
      <c r="J62" s="17" t="n"/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n"/>
      <c r="P62" s="6" t="inlineStr">
        <is>
          <t>Open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/>
      <c r="I63" s="22" t="n"/>
      <c r="J63" s="17" t="n"/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n"/>
      <c r="P63" s="6" t="inlineStr">
        <is>
          <t>Open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1.363168471</v>
      </c>
      <c r="G64" s="17">
        <f>E64*F64</f>
        <v/>
      </c>
      <c r="H64" s="22" t="n">
        <v>46324.75462962963</v>
      </c>
      <c r="I64" s="22" t="n">
        <v>46324.5462962963</v>
      </c>
      <c r="J64" s="17" t="n">
        <v>245.55</v>
      </c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inlineStr">
        <is>
          <t>3 green: sell half</t>
        </is>
      </c>
      <c r="P64" s="6" t="inlineStr">
        <is>
          <t>Closed</t>
        </is>
      </c>
    </row>
    <row r="65">
      <c r="A65" s="6" t="inlineStr">
        <is>
          <t>ACN</t>
        </is>
      </c>
      <c r="B65" s="6" t="inlineStr">
        <is>
          <t>Accenture PLC</t>
        </is>
      </c>
      <c r="C65" s="22" t="n">
        <v>46324.67835648148</v>
      </c>
      <c r="D65" s="22" t="n">
        <v>46324.47002314815</v>
      </c>
      <c r="E65" s="17" t="n">
        <v>243.84</v>
      </c>
      <c r="F65" s="16" t="n">
        <v>1.363168471</v>
      </c>
      <c r="G65" s="17">
        <f>E65*F65</f>
        <v/>
      </c>
      <c r="H65" s="22" t="n"/>
      <c r="I65" s="22" t="n"/>
      <c r="J65" s="17" t="n"/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n"/>
      <c r="P65" s="6" t="inlineStr">
        <is>
          <t>Open</t>
        </is>
      </c>
    </row>
    <row r="66">
      <c r="A66" s="6" t="inlineStr">
        <is>
          <t>ILMN</t>
        </is>
      </c>
      <c r="B66" s="6" t="inlineStr">
        <is>
          <t>Illumina, Inc. Common Stock</t>
        </is>
      </c>
      <c r="C66" s="22" t="n">
        <v>46324.67835648148</v>
      </c>
      <c r="D66" s="22" t="n">
        <v>46324.47002314815</v>
      </c>
      <c r="E66" s="17" t="n">
        <v>288.56</v>
      </c>
      <c r="F66" s="16" t="n">
        <v>2.303818963</v>
      </c>
      <c r="G66" s="17">
        <f>E66*F66</f>
        <v/>
      </c>
      <c r="H66" s="22" t="n">
        <v>46324.76877314815</v>
      </c>
      <c r="I66" s="22" t="n">
        <v>46324.56043981481</v>
      </c>
      <c r="J66" s="17" t="n">
        <v>289.14</v>
      </c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inlineStr">
        <is>
          <t>stop-loss (Alpaca order)</t>
        </is>
      </c>
      <c r="P66" s="6" t="inlineStr">
        <is>
          <t>Closed</t>
        </is>
      </c>
    </row>
    <row r="67">
      <c r="A67" s="6" t="inlineStr">
        <is>
          <t>LIN</t>
        </is>
      </c>
      <c r="B67" s="6" t="inlineStr">
        <is>
          <t>Linde plc Ordinary Shares</t>
        </is>
      </c>
      <c r="C67" s="22" t="n">
        <v>46324.67836805555</v>
      </c>
      <c r="D67" s="22" t="n">
        <v>46324.47003472222</v>
      </c>
      <c r="E67" s="17" t="n">
        <v>501.46</v>
      </c>
      <c r="F67" s="16" t="n">
        <v>0.662854464</v>
      </c>
      <c r="G67" s="17">
        <f>E67*F67</f>
        <v/>
      </c>
      <c r="H67" s="22" t="n">
        <v>46324.81153935185</v>
      </c>
      <c r="I67" s="22" t="n">
        <v>46324.60320601852</v>
      </c>
      <c r="J67" s="17" t="n">
        <v>502.818</v>
      </c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inlineStr">
        <is>
          <t>3 green: sell half</t>
        </is>
      </c>
      <c r="P67" s="6" t="inlineStr">
        <is>
          <t>Closed</t>
        </is>
      </c>
    </row>
    <row r="68">
      <c r="A68" s="6" t="inlineStr">
        <is>
          <t>LIN</t>
        </is>
      </c>
      <c r="B68" s="6" t="inlineStr">
        <is>
          <t>Linde plc Ordinary Shares</t>
        </is>
      </c>
      <c r="C68" s="22" t="n">
        <v>46324.67836805555</v>
      </c>
      <c r="D68" s="22" t="n">
        <v>46324.47003472222</v>
      </c>
      <c r="E68" s="17" t="n">
        <v>501.46</v>
      </c>
      <c r="F68" s="16" t="n">
        <v>0.6628544649999999</v>
      </c>
      <c r="G68" s="17">
        <f>E68*F68</f>
        <v/>
      </c>
      <c r="H68" s="22" t="n"/>
      <c r="I68" s="22" t="n"/>
      <c r="J68" s="17" t="n"/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n"/>
      <c r="P68" s="6" t="inlineStr">
        <is>
          <t>Open</t>
        </is>
      </c>
    </row>
    <row r="69">
      <c r="A69" s="6" t="inlineStr">
        <is>
          <t>EQNR</t>
        </is>
      </c>
      <c r="B69" s="6" t="inlineStr">
        <is>
          <t>Equinor ASA American Depositary Shares (Each Representing One Ordinary Share, nominal value NOK 2.50 per share)</t>
        </is>
      </c>
      <c r="C69" s="22" t="n">
        <v>46324.67839120371</v>
      </c>
      <c r="D69" s="22" t="n">
        <v>46324.47005787037</v>
      </c>
      <c r="E69" s="17" t="n">
        <v>47.09</v>
      </c>
      <c r="F69" s="16" t="n">
        <v>14.117434699</v>
      </c>
      <c r="G69" s="17">
        <f>E69*F69</f>
        <v/>
      </c>
      <c r="H69" s="22" t="n"/>
      <c r="I69" s="22" t="n"/>
      <c r="J69" s="17" t="n"/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n"/>
      <c r="P69" s="6" t="inlineStr">
        <is>
          <t>Open</t>
        </is>
      </c>
    </row>
    <row r="70">
      <c r="A70" s="6" t="inlineStr">
        <is>
          <t>SO</t>
        </is>
      </c>
      <c r="B70" s="6" t="inlineStr">
        <is>
          <t>The Southern Company</t>
        </is>
      </c>
      <c r="C70" s="22" t="n">
        <v>46324.68998842593</v>
      </c>
      <c r="D70" s="22" t="n">
        <v>46324.48165509259</v>
      </c>
      <c r="E70" s="17" t="n">
        <v>92.97</v>
      </c>
      <c r="F70" s="16" t="n">
        <v>14.744111003</v>
      </c>
      <c r="G70" s="17">
        <f>E70*F70</f>
        <v/>
      </c>
      <c r="H70" s="22" t="n"/>
      <c r="I70" s="22" t="n"/>
      <c r="J70" s="17" t="n"/>
      <c r="K70" s="17">
        <f>IF(ISNUMBER(J70),J70*F70,"")</f>
        <v/>
      </c>
      <c r="L70" s="23">
        <f>IF(ISNUMBER(J70),K70-G70,"")</f>
        <v/>
      </c>
      <c r="M70" s="24">
        <f>IF(ISNUMBER(J70),L70/G70,"")</f>
        <v/>
      </c>
      <c r="N70" s="25">
        <f>IF(ISNUMBER(H70),H70-C70,"")</f>
        <v/>
      </c>
      <c r="O70" s="6" t="n"/>
      <c r="P70" s="6" t="inlineStr">
        <is>
          <t>Open</t>
        </is>
      </c>
    </row>
    <row r="71">
      <c r="A71" s="6" t="inlineStr">
        <is>
          <t>EQT</t>
        </is>
      </c>
      <c r="B71" s="6" t="inlineStr">
        <is>
          <t>EQT CORP</t>
        </is>
      </c>
      <c r="C71" s="22" t="n">
        <v>46324.69001157407</v>
      </c>
      <c r="D71" s="22" t="n">
        <v>46324.48167824074</v>
      </c>
      <c r="E71" s="17" t="n">
        <v>54.94</v>
      </c>
      <c r="F71" s="16" t="n">
        <v>24.950127411</v>
      </c>
      <c r="G71" s="17">
        <f>E71*F71</f>
        <v/>
      </c>
      <c r="H71" s="22" t="n">
        <v>46324.75886574074</v>
      </c>
      <c r="I71" s="22" t="n">
        <v>46324.5505324074</v>
      </c>
      <c r="J71" s="17" t="n">
        <v>54.75</v>
      </c>
      <c r="K71" s="17">
        <f>IF(ISNUMBER(J71),J71*F71,"")</f>
        <v/>
      </c>
      <c r="L71" s="23">
        <f>IF(ISNUMBER(J71),K71-G71,"")</f>
        <v/>
      </c>
      <c r="M71" s="24">
        <f>IF(ISNUMBER(J71),L71/G71,"")</f>
        <v/>
      </c>
      <c r="N71" s="25">
        <f>IF(ISNUMBER(H71),H71-C71,"")</f>
        <v/>
      </c>
      <c r="O71" s="6" t="inlineStr">
        <is>
          <t>2 or fewer green</t>
        </is>
      </c>
      <c r="P71" s="6" t="inlineStr">
        <is>
          <t>Closed</t>
        </is>
      </c>
    </row>
    <row r="72">
      <c r="A72" s="6" t="inlineStr">
        <is>
          <t>EBAY</t>
        </is>
      </c>
      <c r="B72" s="6" t="inlineStr">
        <is>
          <t>eBay Inc. Common Stock</t>
        </is>
      </c>
      <c r="C72" s="22" t="n">
        <v>46324.7149074074</v>
      </c>
      <c r="D72" s="22" t="n">
        <v>46324.50657407408</v>
      </c>
      <c r="E72" s="17" t="n">
        <v>121.4</v>
      </c>
      <c r="F72" s="16" t="n">
        <v>9.638632618999999</v>
      </c>
      <c r="G72" s="17">
        <f>E72*F72</f>
        <v/>
      </c>
      <c r="H72" s="22" t="n"/>
      <c r="I72" s="22" t="n"/>
      <c r="J72" s="17" t="n"/>
      <c r="K72" s="17">
        <f>IF(ISNUMBER(J72),J72*F72,"")</f>
        <v/>
      </c>
      <c r="L72" s="23">
        <f>IF(ISNUMBER(J72),K72-G72,"")</f>
        <v/>
      </c>
      <c r="M72" s="24">
        <f>IF(ISNUMBER(J72),L72/G72,"")</f>
        <v/>
      </c>
      <c r="N72" s="25">
        <f>IF(ISNUMBER(H72),H72-C72,"")</f>
        <v/>
      </c>
      <c r="O72" s="6" t="n"/>
      <c r="P72" s="6" t="inlineStr">
        <is>
          <t>Open</t>
        </is>
      </c>
    </row>
    <row r="73">
      <c r="A73" s="6" t="inlineStr">
        <is>
          <t>REGN</t>
        </is>
      </c>
      <c r="B73" s="6" t="inlineStr">
        <is>
          <t>Regeneron Pharmaceuticals, Inc. Common Stock</t>
        </is>
      </c>
      <c r="C73" s="22" t="n">
        <v>46324.77543981482</v>
      </c>
      <c r="D73" s="22" t="n">
        <v>46324.56710648148</v>
      </c>
      <c r="E73" s="17" t="n">
        <v>812.87</v>
      </c>
      <c r="F73" s="16" t="n">
        <v>1.562144008</v>
      </c>
      <c r="G73" s="17">
        <f>E73*F73</f>
        <v/>
      </c>
      <c r="H73" s="22" t="n"/>
      <c r="I73" s="22" t="n"/>
      <c r="J73" s="17" t="n"/>
      <c r="K73" s="17">
        <f>IF(ISNUMBER(J73),J73*F73,"")</f>
        <v/>
      </c>
      <c r="L73" s="23">
        <f>IF(ISNUMBER(J73),K73-G73,"")</f>
        <v/>
      </c>
      <c r="M73" s="24">
        <f>IF(ISNUMBER(J73),L73/G73,"")</f>
        <v/>
      </c>
      <c r="N73" s="25">
        <f>IF(ISNUMBER(H73),H73-C73,"")</f>
        <v/>
      </c>
      <c r="O73" s="6" t="n"/>
      <c r="P73" s="6" t="inlineStr">
        <is>
          <t>Open</t>
        </is>
      </c>
    </row>
    <row r="74">
      <c r="A74" s="6" t="inlineStr">
        <is>
          <t>MNST</t>
        </is>
      </c>
      <c r="B74" s="6" t="inlineStr">
        <is>
          <t>Monster Beverage Corporation</t>
        </is>
      </c>
      <c r="C74" s="22" t="n">
        <v>46324.83886574074</v>
      </c>
      <c r="D74" s="22" t="n">
        <v>46324.63053240741</v>
      </c>
      <c r="E74" s="17" t="n">
        <v>46.33</v>
      </c>
      <c r="F74" s="16" t="n">
        <v>41.930066911</v>
      </c>
      <c r="G74" s="17">
        <f>E74*F74</f>
        <v/>
      </c>
      <c r="H74" s="22" t="n"/>
      <c r="I74" s="22" t="n"/>
      <c r="J74" s="17" t="n"/>
      <c r="K74" s="17">
        <f>IF(ISNUMBER(J74),J74*F74,"")</f>
        <v/>
      </c>
      <c r="L74" s="23">
        <f>IF(ISNUMBER(J74),K74-G74,"")</f>
        <v/>
      </c>
      <c r="M74" s="24">
        <f>IF(ISNUMBER(J74),L74/G74,"")</f>
        <v/>
      </c>
      <c r="N74" s="25">
        <f>IF(ISNUMBER(H74),H74-C74,"")</f>
        <v/>
      </c>
      <c r="O74" s="6" t="n"/>
      <c r="P74" s="6" t="inlineStr">
        <is>
          <t>Open</t>
        </is>
      </c>
    </row>
  </sheetData>
  <conditionalFormatting sqref="L2:M74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2026-10-29T19:08:06Z</dcterms:created>
  <dcterms:modified xsi:type="dcterms:W3CDTF">2026-10-29T19:08:06Z</dcterms:modified>
</cp:coreProperties>
</file>