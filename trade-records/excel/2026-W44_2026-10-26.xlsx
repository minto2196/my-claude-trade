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32" headerRowCount="1">
  <autoFilter ref="A1:BA3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0" headerRowCount="1">
  <autoFilter ref="A1:P30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46323.67201388889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46323.46368055556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COUNTIF(Orders!$E$2:$E$32,"BUY")+COUNTIF(Orders!$E$2:$E$32,"SELL")</f>
        <v/>
      </c>
    </row>
    <row r="9">
      <c r="A9" s="6" t="inlineStr">
        <is>
          <t>Buy orders</t>
        </is>
      </c>
      <c r="B9" s="7">
        <f>COUNTIF(Orders!$E$2:$E$32,"BUY")</f>
        <v/>
      </c>
    </row>
    <row r="10">
      <c r="A10" s="6" t="inlineStr">
        <is>
          <t>Sell orders</t>
        </is>
      </c>
      <c r="B10" s="7">
        <f>COUNTIF(Orders!$E$2:$E$32,"SELL")</f>
        <v/>
      </c>
    </row>
    <row r="11">
      <c r="A11" s="6" t="inlineStr">
        <is>
          <t>Filled orders</t>
        </is>
      </c>
      <c r="B11" s="7">
        <f>COUNTIF(Orders!$I$2:$I$32,"filled")</f>
        <v/>
      </c>
    </row>
    <row r="12">
      <c r="A12" s="6" t="inlineStr">
        <is>
          <t>Total bought $</t>
        </is>
      </c>
      <c r="B12" s="8">
        <f>SUMIFS(Orders!$L$2:$L$32,Orders!$E$2:$E$32,"BUY")</f>
        <v/>
      </c>
    </row>
    <row r="13">
      <c r="A13" s="6" t="inlineStr">
        <is>
          <t>Total sold $</t>
        </is>
      </c>
      <c r="B13" s="8">
        <f>SUMIFS(Orders!$L$2:$L$32,Orders!$E$2:$E$32,"SELL")</f>
        <v/>
      </c>
    </row>
    <row r="14">
      <c r="A14" s="6" t="inlineStr">
        <is>
          <t>Closed round trips</t>
        </is>
      </c>
      <c r="B14" s="7">
        <f>COUNTIF('Round trips'!$P$2:$P$30,"Closed")</f>
        <v/>
      </c>
    </row>
    <row r="15">
      <c r="A15" s="6" t="inlineStr">
        <is>
          <t>Open lots</t>
        </is>
      </c>
      <c r="B15" s="7">
        <f>COUNTIF('Round trips'!$P$2:$P$30,"Open")</f>
        <v/>
      </c>
    </row>
    <row r="16">
      <c r="A16" s="6" t="inlineStr">
        <is>
          <t>Realized P/L $</t>
        </is>
      </c>
      <c r="B16" s="9">
        <f>SUM('Round trips'!$L$2:$L$30)</f>
        <v/>
      </c>
    </row>
    <row r="17">
      <c r="A17" s="6" t="inlineStr">
        <is>
          <t>Winning round trips</t>
        </is>
      </c>
      <c r="B17" s="7">
        <f>COUNTIFS('Round trips'!$P$2:$P$30,"Closed",'Round trips'!$L$2:$L$30,"&gt;0")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3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1.704058088</v>
      </c>
      <c r="G26" s="17">
        <f>E26*F26</f>
        <v/>
      </c>
      <c r="H26" s="22" t="n"/>
      <c r="I26" s="22" t="n"/>
      <c r="J26" s="17" t="n"/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n"/>
      <c r="P26" s="6" t="inlineStr">
        <is>
          <t>Open</t>
        </is>
      </c>
    </row>
    <row r="27">
      <c r="A27" s="6" t="inlineStr">
        <is>
          <t>ADP</t>
        </is>
      </c>
      <c r="B27" s="6" t="inlineStr">
        <is>
          <t>Automatic Data Processing, Inc. Common Stock</t>
        </is>
      </c>
      <c r="C27" s="22" t="n">
        <v>46323.671875</v>
      </c>
      <c r="D27" s="22" t="n">
        <v>46323.46354166666</v>
      </c>
      <c r="E27" s="17" t="n">
        <v>284.46</v>
      </c>
      <c r="F27" s="16" t="n">
        <v>3.676298952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CNC</t>
        </is>
      </c>
      <c r="B28" s="6" t="inlineStr">
        <is>
          <t>Centene Corporation</t>
        </is>
      </c>
      <c r="C28" s="22" t="n">
        <v>46323.671875</v>
      </c>
      <c r="D28" s="22" t="n">
        <v>46323.46354166666</v>
      </c>
      <c r="E28" s="17" t="n">
        <v>68.89</v>
      </c>
      <c r="F28" s="16" t="n">
        <v>15.180142255</v>
      </c>
      <c r="G28" s="17">
        <f>E28*F28</f>
        <v/>
      </c>
      <c r="H28" s="22" t="n"/>
      <c r="I28" s="22" t="n"/>
      <c r="J28" s="17" t="n"/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n"/>
      <c r="P28" s="6" t="inlineStr">
        <is>
          <t>Open</t>
        </is>
      </c>
    </row>
    <row r="29">
      <c r="A29" s="6" t="inlineStr">
        <is>
          <t>CTSH</t>
        </is>
      </c>
      <c r="B29" s="6" t="inlineStr">
        <is>
          <t>Cognizant Technology Solutions Corporation Class A Common Stock</t>
        </is>
      </c>
      <c r="C29" s="22" t="n">
        <v>46323.67188657408</v>
      </c>
      <c r="D29" s="22" t="n">
        <v>46323.46355324074</v>
      </c>
      <c r="E29" s="17" t="n">
        <v>66.55</v>
      </c>
      <c r="F29" s="16" t="n">
        <v>15.713899323</v>
      </c>
      <c r="G29" s="17">
        <f>E29*F29</f>
        <v/>
      </c>
      <c r="H29" s="22" t="n"/>
      <c r="I29" s="22" t="n"/>
      <c r="J29" s="17" t="n"/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n"/>
      <c r="P29" s="6" t="inlineStr">
        <is>
          <t>Open</t>
        </is>
      </c>
    </row>
    <row r="30">
      <c r="A30" s="6" t="inlineStr">
        <is>
          <t>EQNR</t>
        </is>
      </c>
      <c r="B30" s="6" t="inlineStr">
        <is>
          <t>Equinor ASA American Depositary Shares (Each Representing One Ordinary Share, nominal value NOK 2.50 per share)</t>
        </is>
      </c>
      <c r="C30" s="22" t="n">
        <v>46323.67188657408</v>
      </c>
      <c r="D30" s="22" t="n">
        <v>46323.46355324074</v>
      </c>
      <c r="E30" s="17" t="n">
        <v>47.68</v>
      </c>
      <c r="F30" s="16" t="n">
        <v>21.932885906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</sheetData>
  <conditionalFormatting sqref="L2:M30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2026-10-28T15:07:42Z</dcterms:created>
  <dcterms:modified xsi:type="dcterms:W3CDTF">2026-10-28T15:07:42Z</dcterms:modified>
</cp:coreProperties>
</file>