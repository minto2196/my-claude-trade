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5" headerRowCount="1">
  <autoFilter ref="A1:BA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" headerRowCount="1">
  <autoFilter ref="A1:P3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46322.86795138889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46322.65961805556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COUNTIF(Orders!$E$2:$E$5,"BUY")+COUNTIF(Orders!$E$2:$E$5,"SELL")</f>
        <v/>
      </c>
    </row>
    <row r="9">
      <c r="A9" s="6" t="inlineStr">
        <is>
          <t>Buy orders</t>
        </is>
      </c>
      <c r="B9" s="7">
        <f>COUNTIF(Orders!$E$2:$E$5,"BUY")</f>
        <v/>
      </c>
    </row>
    <row r="10">
      <c r="A10" s="6" t="inlineStr">
        <is>
          <t>Sell orders</t>
        </is>
      </c>
      <c r="B10" s="7">
        <f>COUNTIF(Orders!$E$2:$E$5,"SELL")</f>
        <v/>
      </c>
    </row>
    <row r="11">
      <c r="A11" s="6" t="inlineStr">
        <is>
          <t>Filled orders</t>
        </is>
      </c>
      <c r="B11" s="7">
        <f>COUNTIF(Orders!$I$2:$I$5,"filled")</f>
        <v/>
      </c>
    </row>
    <row r="12">
      <c r="A12" s="6" t="inlineStr">
        <is>
          <t>Total bought $</t>
        </is>
      </c>
      <c r="B12" s="8">
        <f>SUMIFS(Orders!$L$2:$L$5,Orders!$E$2:$E$5,"BUY")</f>
        <v/>
      </c>
    </row>
    <row r="13">
      <c r="A13" s="6" t="inlineStr">
        <is>
          <t>Total sold $</t>
        </is>
      </c>
      <c r="B13" s="8">
        <f>SUMIFS(Orders!$L$2:$L$5,Orders!$E$2:$E$5,"SELL")</f>
        <v/>
      </c>
    </row>
    <row r="14">
      <c r="A14" s="6" t="inlineStr">
        <is>
          <t>Closed round trips</t>
        </is>
      </c>
      <c r="B14" s="7">
        <f>COUNTIF('Round trips'!$P$2:$P$3,"Closed")</f>
        <v/>
      </c>
    </row>
    <row r="15">
      <c r="A15" s="6" t="inlineStr">
        <is>
          <t>Open lots</t>
        </is>
      </c>
      <c r="B15" s="7">
        <f>COUNTIF('Round trips'!$P$2:$P$3,"Open")</f>
        <v/>
      </c>
    </row>
    <row r="16">
      <c r="A16" s="6" t="inlineStr">
        <is>
          <t>Realized P/L $</t>
        </is>
      </c>
      <c r="B16" s="9">
        <f>SUM('Round trips'!$L$2:$L$3)</f>
        <v/>
      </c>
    </row>
    <row r="17">
      <c r="A17" s="6" t="inlineStr">
        <is>
          <t>Winning round trips</t>
        </is>
      </c>
      <c r="B17" s="7">
        <f>COUNTIFS('Round trips'!$P$2:$P$3,"Closed",'Round trips'!$L$2:$L$3,"&gt;0")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</sheetData>
  <conditionalFormatting sqref="L2:M3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2026-10-27T19:49:51Z</dcterms:created>
  <dcterms:modified xsi:type="dcterms:W3CDTF">2026-10-27T19:49:51Z</dcterms:modified>
</cp:coreProperties>
</file>