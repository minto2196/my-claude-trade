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05" headerRowCount="1">
  <autoFilter ref="A1:BA105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69" headerRowCount="1">
  <autoFilter ref="A1:P69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46324.71086805555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46324.50253472223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COUNTIF(Orders!$E$2:$E$105,"BUY")+COUNTIF(Orders!$E$2:$E$105,"SELL")</f>
        <v/>
      </c>
    </row>
    <row r="9">
      <c r="A9" s="6" t="inlineStr">
        <is>
          <t>Buy orders</t>
        </is>
      </c>
      <c r="B9" s="7">
        <f>COUNTIF(Orders!$E$2:$E$105,"BUY")</f>
        <v/>
      </c>
    </row>
    <row r="10">
      <c r="A10" s="6" t="inlineStr">
        <is>
          <t>Sell orders</t>
        </is>
      </c>
      <c r="B10" s="7">
        <f>COUNTIF(Orders!$E$2:$E$105,"SELL")</f>
        <v/>
      </c>
    </row>
    <row r="11">
      <c r="A11" s="6" t="inlineStr">
        <is>
          <t>Filled orders</t>
        </is>
      </c>
      <c r="B11" s="7">
        <f>COUNTIF(Orders!$I$2:$I$105,"filled")</f>
        <v/>
      </c>
    </row>
    <row r="12">
      <c r="A12" s="6" t="inlineStr">
        <is>
          <t>Total bought $</t>
        </is>
      </c>
      <c r="B12" s="8">
        <f>SUMIFS(Orders!$L$2:$L$105,Orders!$E$2:$E$105,"BUY")</f>
        <v/>
      </c>
    </row>
    <row r="13">
      <c r="A13" s="6" t="inlineStr">
        <is>
          <t>Total sold $</t>
        </is>
      </c>
      <c r="B13" s="8">
        <f>SUMIFS(Orders!$L$2:$L$105,Orders!$E$2:$E$105,"SELL")</f>
        <v/>
      </c>
    </row>
    <row r="14">
      <c r="A14" s="6" t="inlineStr">
        <is>
          <t>Closed round trips</t>
        </is>
      </c>
      <c r="B14" s="7">
        <f>COUNTIF('Round trips'!$P$2:$P$69,"Closed")</f>
        <v/>
      </c>
    </row>
    <row r="15">
      <c r="A15" s="6" t="inlineStr">
        <is>
          <t>Open lots</t>
        </is>
      </c>
      <c r="B15" s="7">
        <f>COUNTIF('Round trips'!$P$2:$P$69,"Open")</f>
        <v/>
      </c>
    </row>
    <row r="16">
      <c r="A16" s="6" t="inlineStr">
        <is>
          <t>Realized P/L $</t>
        </is>
      </c>
      <c r="B16" s="9">
        <f>SUM('Round trips'!$L$2:$L$69)</f>
        <v/>
      </c>
    </row>
    <row r="17">
      <c r="A17" s="6" t="inlineStr">
        <is>
          <t>Winning round trips</t>
        </is>
      </c>
      <c r="B17" s="7">
        <f>COUNTIFS('Round trips'!$P$2:$P$69,"Closed",'Round trips'!$L$2:$L$69,"&gt;0")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0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9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2.726336942</v>
      </c>
      <c r="G64" s="17">
        <f>E64*F64</f>
        <v/>
      </c>
      <c r="H64" s="22" t="n"/>
      <c r="I64" s="22" t="n"/>
      <c r="J64" s="17" t="n"/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n"/>
      <c r="P64" s="6" t="inlineStr">
        <is>
          <t>Open</t>
        </is>
      </c>
    </row>
    <row r="65">
      <c r="A65" s="6" t="inlineStr">
        <is>
          <t>ILMN</t>
        </is>
      </c>
      <c r="B65" s="6" t="inlineStr">
        <is>
          <t>Illumina, Inc. Common Stock</t>
        </is>
      </c>
      <c r="C65" s="22" t="n">
        <v>46324.67835648148</v>
      </c>
      <c r="D65" s="22" t="n">
        <v>46324.47002314815</v>
      </c>
      <c r="E65" s="17" t="n">
        <v>288.56</v>
      </c>
      <c r="F65" s="16" t="n">
        <v>2.303818963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LIN</t>
        </is>
      </c>
      <c r="B66" s="6" t="inlineStr">
        <is>
          <t>Linde plc Ordinary Shares</t>
        </is>
      </c>
      <c r="C66" s="22" t="n">
        <v>46324.67836805555</v>
      </c>
      <c r="D66" s="22" t="n">
        <v>46324.47003472222</v>
      </c>
      <c r="E66" s="17" t="n">
        <v>501.46</v>
      </c>
      <c r="F66" s="16" t="n">
        <v>1.325708929</v>
      </c>
      <c r="G66" s="17">
        <f>E66*F66</f>
        <v/>
      </c>
      <c r="H66" s="22" t="n"/>
      <c r="I66" s="22" t="n"/>
      <c r="J66" s="17" t="n"/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n"/>
      <c r="P66" s="6" t="inlineStr">
        <is>
          <t>Open</t>
        </is>
      </c>
    </row>
    <row r="67">
      <c r="A67" s="6" t="inlineStr">
        <is>
          <t>EQNR</t>
        </is>
      </c>
      <c r="B67" s="6" t="inlineStr">
        <is>
          <t>Equinor ASA American Depositary Shares (Each Representing One Ordinary Share, nominal value NOK 2.50 per share)</t>
        </is>
      </c>
      <c r="C67" s="22" t="n">
        <v>46324.67839120371</v>
      </c>
      <c r="D67" s="22" t="n">
        <v>46324.47005787037</v>
      </c>
      <c r="E67" s="17" t="n">
        <v>47.09</v>
      </c>
      <c r="F67" s="16" t="n">
        <v>14.117434699</v>
      </c>
      <c r="G67" s="17">
        <f>E67*F67</f>
        <v/>
      </c>
      <c r="H67" s="22" t="n"/>
      <c r="I67" s="22" t="n"/>
      <c r="J67" s="17" t="n"/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n"/>
      <c r="P67" s="6" t="inlineStr">
        <is>
          <t>Open</t>
        </is>
      </c>
    </row>
    <row r="68">
      <c r="A68" s="6" t="inlineStr">
        <is>
          <t>SO</t>
        </is>
      </c>
      <c r="B68" s="6" t="inlineStr">
        <is>
          <t>The Southern Company</t>
        </is>
      </c>
      <c r="C68" s="22" t="n">
        <v>46324.68998842593</v>
      </c>
      <c r="D68" s="22" t="n">
        <v>46324.48165509259</v>
      </c>
      <c r="E68" s="17" t="n">
        <v>92.97</v>
      </c>
      <c r="F68" s="16" t="n">
        <v>14.744111003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EQT</t>
        </is>
      </c>
      <c r="B69" s="6" t="inlineStr">
        <is>
          <t>EQT CORP</t>
        </is>
      </c>
      <c r="C69" s="22" t="n">
        <v>46324.69001157407</v>
      </c>
      <c r="D69" s="22" t="n">
        <v>46324.48167824074</v>
      </c>
      <c r="E69" s="17" t="n">
        <v>54.94</v>
      </c>
      <c r="F69" s="16" t="n">
        <v>24.950127411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</sheetData>
  <conditionalFormatting sqref="L2:M69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2026-10-29T16:03:39Z</dcterms:created>
  <dcterms:modified xsi:type="dcterms:W3CDTF">2026-10-29T16:03:39Z</dcterms:modified>
</cp:coreProperties>
</file>