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82" headerRowCount="1">
  <autoFilter ref="A1:BA18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7" headerRowCount="1">
  <autoFilter ref="A1:P10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46325.82835648148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46325.62002314815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COUNTIF(Orders!$E$2:$E$182,"BUY")+COUNTIF(Orders!$E$2:$E$182,"SELL")</f>
        <v/>
      </c>
    </row>
    <row r="9">
      <c r="A9" s="6" t="inlineStr">
        <is>
          <t>Buy orders</t>
        </is>
      </c>
      <c r="B9" s="7">
        <f>COUNTIF(Orders!$E$2:$E$182,"BUY")</f>
        <v/>
      </c>
    </row>
    <row r="10">
      <c r="A10" s="6" t="inlineStr">
        <is>
          <t>Sell orders</t>
        </is>
      </c>
      <c r="B10" s="7">
        <f>COUNTIF(Orders!$E$2:$E$182,"SELL")</f>
        <v/>
      </c>
    </row>
    <row r="11">
      <c r="A11" s="6" t="inlineStr">
        <is>
          <t>Filled orders</t>
        </is>
      </c>
      <c r="B11" s="7">
        <f>COUNTIF(Orders!$I$2:$I$182,"filled")</f>
        <v/>
      </c>
    </row>
    <row r="12">
      <c r="A12" s="6" t="inlineStr">
        <is>
          <t>Total bought $</t>
        </is>
      </c>
      <c r="B12" s="8">
        <f>SUMIFS(Orders!$L$2:$L$182,Orders!$E$2:$E$182,"BUY")</f>
        <v/>
      </c>
    </row>
    <row r="13">
      <c r="A13" s="6" t="inlineStr">
        <is>
          <t>Total sold $</t>
        </is>
      </c>
      <c r="B13" s="8">
        <f>SUMIFS(Orders!$L$2:$L$182,Orders!$E$2:$E$182,"SELL")</f>
        <v/>
      </c>
    </row>
    <row r="14">
      <c r="A14" s="6" t="inlineStr">
        <is>
          <t>Closed round trips</t>
        </is>
      </c>
      <c r="B14" s="7">
        <f>COUNTIF('Round trips'!$P$2:$P$107,"Closed")</f>
        <v/>
      </c>
    </row>
    <row r="15">
      <c r="A15" s="6" t="inlineStr">
        <is>
          <t>Open lots</t>
        </is>
      </c>
      <c r="B15" s="7">
        <f>COUNTIF('Round trips'!$P$2:$P$107,"Open")</f>
        <v/>
      </c>
    </row>
    <row r="16">
      <c r="A16" s="6" t="inlineStr">
        <is>
          <t>Realized P/L $</t>
        </is>
      </c>
      <c r="B16" s="9">
        <f>SUM('Round trips'!$L$2:$L$107)</f>
        <v/>
      </c>
    </row>
    <row r="17">
      <c r="A17" s="6" t="inlineStr">
        <is>
          <t>Winning round trips</t>
        </is>
      </c>
      <c r="B17" s="7">
        <f>COUNTIFS('Round trips'!$P$2:$P$107,"Closed",'Round trips'!$L$2:$L$107,"&gt;0")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8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46325.62011574074</v>
      </c>
      <c r="C166" s="13" t="n">
        <v>46325.41178240741</v>
      </c>
      <c r="D166" s="13" t="n">
        <v>46325.57844907408</v>
      </c>
      <c r="E166" s="21" t="inlineStr">
        <is>
          <t>SELL</t>
        </is>
      </c>
      <c r="F166" s="6" t="inlineStr">
        <is>
          <t>CTSH</t>
        </is>
      </c>
      <c r="G166" s="15" t="n"/>
      <c r="H166" s="6" t="n"/>
      <c r="I166" s="6" t="inlineStr">
        <is>
          <t>filled</t>
        </is>
      </c>
      <c r="J166" s="16" t="n">
        <v>10.809917355</v>
      </c>
      <c r="K166" s="17" t="n">
        <v>64.54000000000001</v>
      </c>
      <c r="L166" s="17">
        <f>IF(AND(ISNUMBER(J166),ISNUMBER(K166)),J166*K166,"")</f>
        <v/>
      </c>
      <c r="M166" s="17" t="n"/>
      <c r="N166" s="16" t="n">
        <v>10.809917355</v>
      </c>
      <c r="O166" s="6" t="inlineStr">
        <is>
          <t>stop-loss (Alpaca order)</t>
        </is>
      </c>
      <c r="P166" s="15" t="inlineStr">
        <is>
          <t>Alpaca stop order triggered at 64.6 (the stock's sell line)</t>
        </is>
      </c>
      <c r="Q166" s="12" t="n"/>
      <c r="R166" s="6" t="n"/>
      <c r="S166" s="18" t="n"/>
      <c r="T166" s="12" t="n"/>
      <c r="U166" s="19" t="n"/>
      <c r="V166" s="19" t="n"/>
      <c r="W166" s="12" t="n"/>
      <c r="X166" s="6" t="n"/>
      <c r="Y166" s="19" t="n"/>
      <c r="Z166" s="6" t="n"/>
      <c r="AA166" s="12" t="n"/>
      <c r="AB166" s="15" t="n"/>
      <c r="AC166" s="6" t="n"/>
      <c r="AD166" s="6" t="n"/>
      <c r="AE166" s="17" t="n"/>
      <c r="AF166" s="17" t="n"/>
      <c r="AG166" s="17" t="n"/>
      <c r="AH166" s="20" t="n"/>
      <c r="AI166" s="18" t="n"/>
      <c r="AJ166" s="6" t="n"/>
      <c r="AK166" s="12" t="n"/>
      <c r="AL166" s="15" t="n"/>
      <c r="AM166" s="17" t="n"/>
      <c r="AN166" s="19" t="n"/>
      <c r="AO166" s="17" t="n"/>
      <c r="AP166" s="17" t="n"/>
      <c r="AQ166" s="19" t="n"/>
      <c r="AR166" s="16" t="n"/>
      <c r="AS166" s="17" t="n"/>
      <c r="AT166" s="19" t="n"/>
      <c r="AU166" s="6" t="inlineStr">
        <is>
          <t>paper</t>
        </is>
      </c>
      <c r="AV166" s="6" t="inlineStr">
        <is>
          <t>1ed4d5c6-13bc-4722-92dd-a9fe2f2cf5eb</t>
        </is>
      </c>
      <c r="AW166" s="6" t="inlineStr">
        <is>
          <t>tdagent-stop-CTSH-1793367804635</t>
        </is>
      </c>
      <c r="AX166" s="13" t="n">
        <v>46325.57180555556</v>
      </c>
      <c r="AY166" s="13" t="n">
        <v>46325.57844907408</v>
      </c>
      <c r="AZ166" s="13" t="n"/>
      <c r="BA166" s="6" t="n"/>
    </row>
    <row r="167">
      <c r="A167" s="12" t="n">
        <v>166</v>
      </c>
      <c r="B167" s="13" t="n">
        <v>46325.61847222222</v>
      </c>
      <c r="C167" s="13" t="n">
        <v>46325.41013888889</v>
      </c>
      <c r="D167" s="13" t="n">
        <v>46325.57680555555</v>
      </c>
      <c r="E167" s="21" t="inlineStr">
        <is>
          <t>SELL</t>
        </is>
      </c>
      <c r="F167" s="6" t="inlineStr">
        <is>
          <t>CBOE</t>
        </is>
      </c>
      <c r="G167" s="15" t="n"/>
      <c r="H167" s="6" t="n"/>
      <c r="I167" s="6" t="inlineStr">
        <is>
          <t>filled</t>
        </is>
      </c>
      <c r="J167" s="16" t="n">
        <v>2.096661021</v>
      </c>
      <c r="K167" s="17" t="n">
        <v>331.63</v>
      </c>
      <c r="L167" s="17">
        <f>IF(AND(ISNUMBER(J167),ISNUMBER(K167)),J167*K167,"")</f>
        <v/>
      </c>
      <c r="M167" s="17" t="n"/>
      <c r="N167" s="16" t="n">
        <v>2.096661021</v>
      </c>
      <c r="O167" s="6" t="inlineStr">
        <is>
          <t>stop-loss (Alpaca order)</t>
        </is>
      </c>
      <c r="P167" s="15" t="inlineStr">
        <is>
          <t>Alpaca stop order triggered at 332.16 (the stock's sell line)</t>
        </is>
      </c>
      <c r="Q167" s="12" t="n"/>
      <c r="R167" s="6" t="n"/>
      <c r="S167" s="18" t="n"/>
      <c r="T167" s="12" t="n"/>
      <c r="U167" s="19" t="n"/>
      <c r="V167" s="19" t="n"/>
      <c r="W167" s="12" t="n"/>
      <c r="X167" s="6" t="n"/>
      <c r="Y167" s="19" t="n"/>
      <c r="Z167" s="6" t="n"/>
      <c r="AA167" s="12" t="n"/>
      <c r="AB167" s="15" t="n"/>
      <c r="AC167" s="6" t="n"/>
      <c r="AD167" s="6" t="n"/>
      <c r="AE167" s="17" t="n"/>
      <c r="AF167" s="17" t="n"/>
      <c r="AG167" s="17" t="n"/>
      <c r="AH167" s="20" t="n"/>
      <c r="AI167" s="18" t="n"/>
      <c r="AJ167" s="6" t="n"/>
      <c r="AK167" s="12" t="n"/>
      <c r="AL167" s="15" t="n"/>
      <c r="AM167" s="17" t="n"/>
      <c r="AN167" s="19" t="n"/>
      <c r="AO167" s="17" t="n"/>
      <c r="AP167" s="17" t="n"/>
      <c r="AQ167" s="19" t="n"/>
      <c r="AR167" s="16" t="n"/>
      <c r="AS167" s="17" t="n"/>
      <c r="AT167" s="19" t="n"/>
      <c r="AU167" s="6" t="inlineStr">
        <is>
          <t>paper</t>
        </is>
      </c>
      <c r="AV167" s="6" t="inlineStr">
        <is>
          <t>c460c6de-6c52-49a0-b1fb-549025e69b46</t>
        </is>
      </c>
      <c r="AW167" s="6" t="inlineStr">
        <is>
          <t>tdagent-stop-CBOE-1793368021815</t>
        </is>
      </c>
      <c r="AX167" s="13" t="n">
        <v>46325.5743287037</v>
      </c>
      <c r="AY167" s="13" t="n">
        <v>46325.57680555555</v>
      </c>
      <c r="AZ167" s="13" t="n"/>
      <c r="BA167" s="6" t="n"/>
    </row>
    <row r="168">
      <c r="A168" s="12" t="n">
        <v>167</v>
      </c>
      <c r="B168" s="13" t="n">
        <v>46325.61717592592</v>
      </c>
      <c r="C168" s="13" t="n">
        <v>46325.40884259259</v>
      </c>
      <c r="D168" s="13" t="n">
        <v>46325.57550925926</v>
      </c>
      <c r="E168" s="21" t="inlineStr">
        <is>
          <t>SELL</t>
        </is>
      </c>
      <c r="F168" s="6" t="inlineStr">
        <is>
          <t>NTRA</t>
        </is>
      </c>
      <c r="G168" s="15" t="inlineStr">
        <is>
          <t>NTRA</t>
        </is>
      </c>
      <c r="H168" s="6" t="inlineStr">
        <is>
          <t>NASDAQ</t>
        </is>
      </c>
      <c r="I168" s="6" t="inlineStr">
        <is>
          <t>filled</t>
        </is>
      </c>
      <c r="J168" s="16" t="n">
        <v>3.215063542</v>
      </c>
      <c r="K168" s="17" t="n">
        <v>421.1</v>
      </c>
      <c r="L168" s="17">
        <f>IF(AND(ISNUMBER(J168),ISNUMBER(K168)),J168*K168,"")</f>
        <v/>
      </c>
      <c r="M168" s="17" t="n"/>
      <c r="N168" s="16" t="n">
        <v>3.215063542</v>
      </c>
      <c r="O168" s="6" t="inlineStr">
        <is>
          <t>bad day</t>
        </is>
      </c>
      <c r="P168" s="15" t="inlineStr">
        <is>
          <t>Bad day: down 3.1% today and only 4 of 5 green</t>
        </is>
      </c>
      <c r="Q168" s="12" t="n">
        <v>4</v>
      </c>
      <c r="R168" s="6" t="inlineStr">
        <is>
          <t>ok</t>
        </is>
      </c>
      <c r="S168" s="18" t="n">
        <v>0.701</v>
      </c>
      <c r="T168" s="12" t="n">
        <v>67</v>
      </c>
      <c r="U168" s="19" t="n">
        <v>0.0292</v>
      </c>
      <c r="V168" s="19" t="n">
        <v>0.2893</v>
      </c>
      <c r="W168" s="12" t="n"/>
      <c r="X168" s="6" t="inlineStr">
        <is>
          <t>ok</t>
        </is>
      </c>
      <c r="Y168" s="19" t="n">
        <v>0.0007000000000000001</v>
      </c>
      <c r="Z168" s="6" t="inlineStr">
        <is>
          <t>ok</t>
        </is>
      </c>
      <c r="AA168" s="12" t="n">
        <v>100</v>
      </c>
      <c r="AB168" s="15" t="n"/>
      <c r="AC168" s="6" t="inlineStr">
        <is>
          <t>ok</t>
        </is>
      </c>
      <c r="AD168" s="6" t="inlineStr">
        <is>
          <t>up</t>
        </is>
      </c>
      <c r="AE168" s="17" t="n">
        <v>435.9801</v>
      </c>
      <c r="AF168" s="17" t="n">
        <v>403.1548</v>
      </c>
      <c r="AG168" s="17" t="n">
        <v>468.8054</v>
      </c>
      <c r="AH168" s="20" t="n">
        <v>46332</v>
      </c>
      <c r="AI168" s="18" t="n">
        <v>0.53</v>
      </c>
      <c r="AJ168" s="6" t="inlineStr">
        <is>
          <t>alert</t>
        </is>
      </c>
      <c r="AK168" s="12" t="n">
        <v>4</v>
      </c>
      <c r="AL168" s="15" t="inlineStr">
        <is>
          <t>Natera CEO Steven Leonard Chapman Sells Shares Worth $2.38 Million</t>
        </is>
      </c>
      <c r="AM168" s="17" t="n">
        <v>422.85</v>
      </c>
      <c r="AN168" s="19" t="n">
        <v>-0.0302</v>
      </c>
      <c r="AO168" s="17" t="n">
        <v>99252.42</v>
      </c>
      <c r="AP168" s="17" t="n">
        <v>11037.02</v>
      </c>
      <c r="AQ168" s="19" t="n">
        <v>0.0833</v>
      </c>
      <c r="AR168" s="16" t="n">
        <v>3.215063542</v>
      </c>
      <c r="AS168" s="17" t="n">
        <v>428.85</v>
      </c>
      <c r="AT168" s="19" t="n">
        <v>-0.0147</v>
      </c>
      <c r="AU168" s="6" t="inlineStr">
        <is>
          <t>paper</t>
        </is>
      </c>
      <c r="AV168" s="6" t="inlineStr">
        <is>
          <t>ac6a8cbc-e6a8-42b8-91e3-d185ec717ce6</t>
        </is>
      </c>
      <c r="AW168" s="6" t="inlineStr">
        <is>
          <t>tdagent-sell-NTRA-1793368122275</t>
        </is>
      </c>
      <c r="AX168" s="13" t="n">
        <v>46325.57548611111</v>
      </c>
      <c r="AY168" s="13" t="n">
        <v>46325.57550925926</v>
      </c>
      <c r="AZ168" s="13" t="n">
        <v>46325.57515046297</v>
      </c>
      <c r="BA168" s="6" t="n"/>
    </row>
    <row r="169">
      <c r="A169" s="12" t="n">
        <v>168</v>
      </c>
      <c r="B169" s="13" t="n">
        <v>46325.61721064815</v>
      </c>
      <c r="C169" s="13" t="n">
        <v>46325.40887731482</v>
      </c>
      <c r="D169" s="13" t="n">
        <v>46325.57554398148</v>
      </c>
      <c r="E169" s="14" t="inlineStr">
        <is>
          <t>BUY</t>
        </is>
      </c>
      <c r="F169" s="6" t="inlineStr">
        <is>
          <t>NTSK</t>
        </is>
      </c>
      <c r="G169" s="15" t="inlineStr">
        <is>
          <t>Netskope, Inc. Class A Common Stock</t>
        </is>
      </c>
      <c r="H169" s="6" t="inlineStr">
        <is>
          <t>NASDAQ</t>
        </is>
      </c>
      <c r="I169" s="6" t="inlineStr">
        <is>
          <t>filled</t>
        </is>
      </c>
      <c r="J169" s="16" t="n">
        <v>36.050548589</v>
      </c>
      <c r="K169" s="17" t="n">
        <v>25.502247</v>
      </c>
      <c r="L169" s="17">
        <f>IF(AND(ISNUMBER(J169),ISNUMBER(K169)),J169*K169,"")</f>
        <v/>
      </c>
      <c r="M169" s="17" t="n">
        <v>919.38</v>
      </c>
      <c r="N169" s="16" t="n"/>
      <c r="O169" s="6" t="inlineStr">
        <is>
          <t>4+/5 green</t>
        </is>
      </c>
      <c r="P169" s="15" t="inlineStr">
        <is>
          <t>5 of 5 green, time machine green, rank #1, 8.33% of the $11,037.02 free cash split 12 ways</t>
        </is>
      </c>
      <c r="Q169" s="12" t="n">
        <v>5</v>
      </c>
      <c r="R169" s="6" t="inlineStr">
        <is>
          <t>ok</t>
        </is>
      </c>
      <c r="S169" s="18" t="n">
        <v>0.643</v>
      </c>
      <c r="T169" s="12" t="n">
        <v>42</v>
      </c>
      <c r="U169" s="19" t="n">
        <v>0.0316</v>
      </c>
      <c r="V169" s="19" t="n">
        <v>0.2893</v>
      </c>
      <c r="W169" s="12" t="n">
        <v>1</v>
      </c>
      <c r="X169" s="6" t="inlineStr">
        <is>
          <t>ok</t>
        </is>
      </c>
      <c r="Y169" s="19" t="n">
        <v>0.002</v>
      </c>
      <c r="Z169" s="6" t="inlineStr">
        <is>
          <t>ok</t>
        </is>
      </c>
      <c r="AA169" s="12" t="n">
        <v>100</v>
      </c>
      <c r="AB169" s="15" t="n"/>
      <c r="AC169" s="6" t="inlineStr">
        <is>
          <t>ok</t>
        </is>
      </c>
      <c r="AD169" s="6" t="inlineStr">
        <is>
          <t>up</t>
        </is>
      </c>
      <c r="AE169" s="17" t="n">
        <v>26.5923</v>
      </c>
      <c r="AF169" s="17" t="n">
        <v>24.0616</v>
      </c>
      <c r="AG169" s="17" t="n">
        <v>29.123</v>
      </c>
      <c r="AH169" s="20" t="n">
        <v>46332</v>
      </c>
      <c r="AI169" s="18" t="n">
        <v>0.58</v>
      </c>
      <c r="AJ169" s="6" t="inlineStr">
        <is>
          <t>ok</t>
        </is>
      </c>
      <c r="AK169" s="12" t="n">
        <v>0</v>
      </c>
      <c r="AL169" s="15" t="n"/>
      <c r="AM169" s="17" t="n">
        <v>25.58</v>
      </c>
      <c r="AN169" s="19" t="n">
        <v>-0.0233</v>
      </c>
      <c r="AO169" s="17" t="n">
        <v>99252.42</v>
      </c>
      <c r="AP169" s="17" t="n">
        <v>11037.02</v>
      </c>
      <c r="AQ169" s="19" t="n">
        <v>0.0833</v>
      </c>
      <c r="AR169" s="16" t="n"/>
      <c r="AS169" s="17" t="n"/>
      <c r="AT169" s="19" t="n"/>
      <c r="AU169" s="6" t="inlineStr">
        <is>
          <t>paper</t>
        </is>
      </c>
      <c r="AV169" s="6" t="inlineStr">
        <is>
          <t>ca38c263-e885-4d83-bc75-f4be21270219</t>
        </is>
      </c>
      <c r="AW169" s="6" t="inlineStr">
        <is>
          <t>tdagent-buy-NTSK-1793368122524</t>
        </is>
      </c>
      <c r="AX169" s="13" t="n">
        <v>46325.57548611111</v>
      </c>
      <c r="AY169" s="13" t="n">
        <v>46325.57554398148</v>
      </c>
      <c r="AZ169" s="13" t="n">
        <v>46325.57515046297</v>
      </c>
      <c r="BA169" s="6" t="n"/>
    </row>
    <row r="170">
      <c r="A170" s="12" t="n">
        <v>169</v>
      </c>
      <c r="B170" s="13" t="n">
        <v>46325.7096875</v>
      </c>
      <c r="C170" s="13" t="n">
        <v>46325.50135416666</v>
      </c>
      <c r="D170" s="13" t="n">
        <v>46325.66802083333</v>
      </c>
      <c r="E170" s="21" t="inlineStr">
        <is>
          <t>SELL</t>
        </is>
      </c>
      <c r="F170" s="6" t="inlineStr">
        <is>
          <t>NTSK</t>
        </is>
      </c>
      <c r="G170" s="15" t="n"/>
      <c r="H170" s="6" t="n"/>
      <c r="I170" s="6" t="inlineStr">
        <is>
          <t>filled</t>
        </is>
      </c>
      <c r="J170" s="16" t="n">
        <v>36.050548589</v>
      </c>
      <c r="K170" s="17" t="n">
        <v>24.21</v>
      </c>
      <c r="L170" s="17">
        <f>IF(AND(ISNUMBER(J170),ISNUMBER(K170)),J170*K170,"")</f>
        <v/>
      </c>
      <c r="M170" s="17" t="n"/>
      <c r="N170" s="16" t="n">
        <v>36.050548589</v>
      </c>
      <c r="O170" s="6" t="inlineStr">
        <is>
          <t>stop-loss (Alpaca order)</t>
        </is>
      </c>
      <c r="P170" s="15" t="inlineStr">
        <is>
          <t>Alpaca stop order triggered at 24.23 (the stock's sell line)</t>
        </is>
      </c>
      <c r="Q170" s="12" t="n"/>
      <c r="R170" s="6" t="n"/>
      <c r="S170" s="18" t="n"/>
      <c r="T170" s="12" t="n"/>
      <c r="U170" s="19" t="n"/>
      <c r="V170" s="19" t="n"/>
      <c r="W170" s="12" t="n"/>
      <c r="X170" s="6" t="n"/>
      <c r="Y170" s="19" t="n"/>
      <c r="Z170" s="6" t="n"/>
      <c r="AA170" s="12" t="n"/>
      <c r="AB170" s="15" t="n"/>
      <c r="AC170" s="6" t="n"/>
      <c r="AD170" s="6" t="n"/>
      <c r="AE170" s="17" t="n"/>
      <c r="AF170" s="17" t="n"/>
      <c r="AG170" s="17" t="n"/>
      <c r="AH170" s="20" t="n"/>
      <c r="AI170" s="18" t="n"/>
      <c r="AJ170" s="6" t="n"/>
      <c r="AK170" s="12" t="n"/>
      <c r="AL170" s="15" t="n"/>
      <c r="AM170" s="17" t="n"/>
      <c r="AN170" s="19" t="n"/>
      <c r="AO170" s="17" t="n"/>
      <c r="AP170" s="17" t="n"/>
      <c r="AQ170" s="19" t="n"/>
      <c r="AR170" s="16" t="n"/>
      <c r="AS170" s="17" t="n"/>
      <c r="AT170" s="19" t="n"/>
      <c r="AU170" s="6" t="inlineStr">
        <is>
          <t>paper</t>
        </is>
      </c>
      <c r="AV170" s="6" t="inlineStr">
        <is>
          <t>e9456b6d-cb33-4648-a824-8d5159883aa8</t>
        </is>
      </c>
      <c r="AW170" s="6" t="inlineStr">
        <is>
          <t>tdagent-stop-NTSK-1793368321507</t>
        </is>
      </c>
      <c r="AX170" s="13" t="n">
        <v>46325.57778935185</v>
      </c>
      <c r="AY170" s="13" t="n">
        <v>46325.66802083333</v>
      </c>
      <c r="AZ170" s="13" t="n"/>
      <c r="BA170" s="6" t="n"/>
    </row>
    <row r="171">
      <c r="A171" s="12" t="n">
        <v>170</v>
      </c>
      <c r="B171" s="13" t="n">
        <v>46325.6212037037</v>
      </c>
      <c r="C171" s="13" t="n">
        <v>46325.41287037037</v>
      </c>
      <c r="D171" s="13" t="n">
        <v>46325.57953703704</v>
      </c>
      <c r="E171" s="21" t="inlineStr">
        <is>
          <t>SELL</t>
        </is>
      </c>
      <c r="F171" s="6" t="inlineStr">
        <is>
          <t>AVTR</t>
        </is>
      </c>
      <c r="G171" s="15" t="inlineStr">
        <is>
          <t>AVTR</t>
        </is>
      </c>
      <c r="H171" s="6" t="inlineStr">
        <is>
          <t>NYSE</t>
        </is>
      </c>
      <c r="I171" s="6" t="inlineStr">
        <is>
          <t>filled</t>
        </is>
      </c>
      <c r="J171" s="16" t="n">
        <v>506</v>
      </c>
      <c r="K171" s="17" t="n">
        <v>16.09581</v>
      </c>
      <c r="L171" s="17">
        <f>IF(AND(ISNUMBER(J171),ISNUMBER(K171)),J171*K171,"")</f>
        <v/>
      </c>
      <c r="M171" s="17" t="n"/>
      <c r="N171" s="16" t="n">
        <v>506</v>
      </c>
      <c r="O171" s="6" t="inlineStr">
        <is>
          <t>bad day</t>
        </is>
      </c>
      <c r="P171" s="15" t="inlineStr">
        <is>
          <t>Bad day: down 3.6% today and only 4 of 5 green</t>
        </is>
      </c>
      <c r="Q171" s="12" t="n">
        <v>4</v>
      </c>
      <c r="R171" s="6" t="inlineStr">
        <is>
          <t>ok</t>
        </is>
      </c>
      <c r="S171" s="18" t="n">
        <v>0.823</v>
      </c>
      <c r="T171" s="12" t="n">
        <v>62</v>
      </c>
      <c r="U171" s="19" t="n">
        <v>0.0453</v>
      </c>
      <c r="V171" s="19" t="n">
        <v>0.2893</v>
      </c>
      <c r="W171" s="12" t="n"/>
      <c r="X171" s="6" t="inlineStr">
        <is>
          <t>ok</t>
        </is>
      </c>
      <c r="Y171" s="19" t="n">
        <v>0.0005999999999999999</v>
      </c>
      <c r="Z171" s="6" t="inlineStr">
        <is>
          <t>ok</t>
        </is>
      </c>
      <c r="AA171" s="12" t="n">
        <v>100</v>
      </c>
      <c r="AB171" s="15" t="n"/>
      <c r="AC171" s="6" t="inlineStr">
        <is>
          <t>ok</t>
        </is>
      </c>
      <c r="AD171" s="6" t="inlineStr">
        <is>
          <t>up</t>
        </is>
      </c>
      <c r="AE171" s="17" t="n">
        <v>16.4138</v>
      </c>
      <c r="AF171" s="17" t="n">
        <v>15.7543</v>
      </c>
      <c r="AG171" s="17" t="n">
        <v>17.0734</v>
      </c>
      <c r="AH171" s="20" t="n">
        <v>46332</v>
      </c>
      <c r="AI171" s="18" t="n">
        <v>0.55</v>
      </c>
      <c r="AJ171" s="6" t="inlineStr">
        <is>
          <t>alert</t>
        </is>
      </c>
      <c r="AK171" s="12" t="n">
        <v>10</v>
      </c>
      <c r="AL171" s="15" t="inlineStr">
        <is>
          <t>Avantor Q3 2026 Earnings Call Transcript</t>
        </is>
      </c>
      <c r="AM171" s="17" t="n">
        <v>16.155</v>
      </c>
      <c r="AN171" s="19" t="n">
        <v>-0.0315</v>
      </c>
      <c r="AO171" s="17" t="n">
        <v>99175.84</v>
      </c>
      <c r="AP171" s="17" t="n">
        <v>12864.5</v>
      </c>
      <c r="AQ171" s="19" t="n">
        <v>0.0833</v>
      </c>
      <c r="AR171" s="16" t="n">
        <v>506</v>
      </c>
      <c r="AS171" s="17" t="n">
        <v>16.368458</v>
      </c>
      <c r="AT171" s="19" t="n">
        <v>-0.0176</v>
      </c>
      <c r="AU171" s="6" t="inlineStr">
        <is>
          <t>paper</t>
        </is>
      </c>
      <c r="AV171" s="6" t="inlineStr">
        <is>
          <t>5a2aff3f-e025-4347-b4bc-5b807d79a3dd</t>
        </is>
      </c>
      <c r="AW171" s="6" t="inlineStr">
        <is>
          <t>tdagent-sell-AVTR-1793368471561</t>
        </is>
      </c>
      <c r="AX171" s="13" t="n">
        <v>46325.57952546296</v>
      </c>
      <c r="AY171" s="13" t="n">
        <v>46325.57953703704</v>
      </c>
      <c r="AZ171" s="13" t="n">
        <v>46325.57931712963</v>
      </c>
      <c r="BA171" s="6" t="n"/>
    </row>
    <row r="172">
      <c r="A172" s="12" t="n">
        <v>171</v>
      </c>
      <c r="B172" s="13" t="n">
        <v>46325.62579861111</v>
      </c>
      <c r="C172" s="13" t="n">
        <v>46325.41746527778</v>
      </c>
      <c r="D172" s="13" t="n">
        <v>46325.58413194444</v>
      </c>
      <c r="E172" s="14" t="inlineStr">
        <is>
          <t>BUY</t>
        </is>
      </c>
      <c r="F172" s="6" t="inlineStr">
        <is>
          <t>TENB</t>
        </is>
      </c>
      <c r="G172" s="15" t="inlineStr">
        <is>
          <t>Tenable Holdings, Inc. Common Stock</t>
        </is>
      </c>
      <c r="H172" s="6" t="inlineStr">
        <is>
          <t>NASDAQ</t>
        </is>
      </c>
      <c r="I172" s="6" t="inlineStr">
        <is>
          <t>filled</t>
        </is>
      </c>
      <c r="J172" s="16" t="n">
        <v>34.46297755</v>
      </c>
      <c r="K172" s="17" t="n">
        <v>50.78</v>
      </c>
      <c r="L172" s="17">
        <f>IF(AND(ISNUMBER(J172),ISNUMBER(K172)),J172*K172,"")</f>
        <v/>
      </c>
      <c r="M172" s="17" t="n">
        <v>1750.04</v>
      </c>
      <c r="N172" s="16" t="n"/>
      <c r="O172" s="6" t="inlineStr">
        <is>
          <t>4+/5 green</t>
        </is>
      </c>
      <c r="P172" s="15" t="inlineStr">
        <is>
          <t>4 of 5 green, time machine green, rank #4, 8.33% of the $21,008.98 free cash split 12 ways</t>
        </is>
      </c>
      <c r="Q172" s="12" t="n">
        <v>4</v>
      </c>
      <c r="R172" s="6" t="inlineStr">
        <is>
          <t>ok</t>
        </is>
      </c>
      <c r="S172" s="18" t="n">
        <v>0.625</v>
      </c>
      <c r="T172" s="12" t="n">
        <v>32</v>
      </c>
      <c r="U172" s="19" t="n">
        <v>0.0703</v>
      </c>
      <c r="V172" s="19" t="n">
        <v>0.2893</v>
      </c>
      <c r="W172" s="12" t="n">
        <v>4</v>
      </c>
      <c r="X172" s="6" t="inlineStr">
        <is>
          <t>ok</t>
        </is>
      </c>
      <c r="Y172" s="19" t="n">
        <v>0.0038</v>
      </c>
      <c r="Z172" s="6" t="inlineStr">
        <is>
          <t>ok</t>
        </is>
      </c>
      <c r="AA172" s="12" t="n">
        <v>100</v>
      </c>
      <c r="AB172" s="15" t="n"/>
      <c r="AC172" s="6" t="inlineStr">
        <is>
          <t>ok</t>
        </is>
      </c>
      <c r="AD172" s="6" t="inlineStr">
        <is>
          <t>up</t>
        </is>
      </c>
      <c r="AE172" s="17" t="n">
        <v>52.721</v>
      </c>
      <c r="AF172" s="17" t="n">
        <v>47.506</v>
      </c>
      <c r="AG172" s="17" t="n">
        <v>57.9361</v>
      </c>
      <c r="AH172" s="20" t="n">
        <v>46332</v>
      </c>
      <c r="AI172" s="18" t="n">
        <v>0.5600000000000001</v>
      </c>
      <c r="AJ172" s="6" t="inlineStr">
        <is>
          <t>watch</t>
        </is>
      </c>
      <c r="AK172" s="12" t="n">
        <v>10</v>
      </c>
      <c r="AL172" s="15" t="inlineStr">
        <is>
          <t>Canaccord Genuity Maintains Buy on Tenable Holdings, Raises Price Target to $54</t>
        </is>
      </c>
      <c r="AM172" s="17" t="n">
        <v>50.83</v>
      </c>
      <c r="AN172" s="19" t="n">
        <v>-0.0219</v>
      </c>
      <c r="AO172" s="17" t="n">
        <v>99162.94</v>
      </c>
      <c r="AP172" s="17" t="n">
        <v>21008.98</v>
      </c>
      <c r="AQ172" s="19" t="n">
        <v>0.0833</v>
      </c>
      <c r="AR172" s="16" t="n"/>
      <c r="AS172" s="17" t="n"/>
      <c r="AT172" s="19" t="n"/>
      <c r="AU172" s="6" t="inlineStr">
        <is>
          <t>paper</t>
        </is>
      </c>
      <c r="AV172" s="6" t="inlineStr">
        <is>
          <t>df26cb82-ab44-4a98-98a5-5d4ad6ebca75</t>
        </is>
      </c>
      <c r="AW172" s="6" t="inlineStr">
        <is>
          <t>tdagent-buy-TENB-1793368866439</t>
        </is>
      </c>
      <c r="AX172" s="13" t="n">
        <v>46325.58409722222</v>
      </c>
      <c r="AY172" s="13" t="n">
        <v>46325.58413194444</v>
      </c>
      <c r="AZ172" s="13" t="n">
        <v>46325.58353009259</v>
      </c>
      <c r="BA172" s="6" t="n"/>
    </row>
    <row r="173">
      <c r="A173" s="12" t="n">
        <v>172</v>
      </c>
      <c r="B173" s="13" t="n">
        <v>46325.62979166667</v>
      </c>
      <c r="C173" s="13" t="n">
        <v>46325.42145833333</v>
      </c>
      <c r="D173" s="13" t="n">
        <v>46325.588125</v>
      </c>
      <c r="E173" s="14" t="inlineStr">
        <is>
          <t>BUY</t>
        </is>
      </c>
      <c r="F173" s="6" t="inlineStr">
        <is>
          <t>DT</t>
        </is>
      </c>
      <c r="G173" s="15" t="inlineStr">
        <is>
          <t>Dynatrace, Inc.</t>
        </is>
      </c>
      <c r="H173" s="6" t="inlineStr">
        <is>
          <t>NYSE</t>
        </is>
      </c>
      <c r="I173" s="6" t="inlineStr">
        <is>
          <t>filled</t>
        </is>
      </c>
      <c r="J173" s="16" t="n">
        <v>27.311201906</v>
      </c>
      <c r="K173" s="17" t="n">
        <v>58.74</v>
      </c>
      <c r="L173" s="17">
        <f>IF(AND(ISNUMBER(J173),ISNUMBER(K173)),J173*K173,"")</f>
        <v/>
      </c>
      <c r="M173" s="17" t="n">
        <v>1604.27</v>
      </c>
      <c r="N173" s="16" t="n"/>
      <c r="O173" s="6" t="inlineStr">
        <is>
          <t>4+/5 green</t>
        </is>
      </c>
      <c r="P173" s="15" t="inlineStr">
        <is>
          <t>5 of 5 green, time machine green, rank #1, 8.33% of the $19,258.95 free cash split 12 ways</t>
        </is>
      </c>
      <c r="Q173" s="12" t="n">
        <v>5</v>
      </c>
      <c r="R173" s="6" t="inlineStr">
        <is>
          <t>ok</t>
        </is>
      </c>
      <c r="S173" s="18" t="n">
        <v>0.623</v>
      </c>
      <c r="T173" s="12" t="n">
        <v>53</v>
      </c>
      <c r="U173" s="19" t="n">
        <v>0.0115</v>
      </c>
      <c r="V173" s="19" t="n">
        <v>0.2893</v>
      </c>
      <c r="W173" s="12" t="n">
        <v>1</v>
      </c>
      <c r="X173" s="6" t="inlineStr">
        <is>
          <t>ok</t>
        </is>
      </c>
      <c r="Y173" s="19" t="n">
        <v>0.0008</v>
      </c>
      <c r="Z173" s="6" t="inlineStr">
        <is>
          <t>ok</t>
        </is>
      </c>
      <c r="AA173" s="12" t="n">
        <v>100</v>
      </c>
      <c r="AB173" s="15" t="n"/>
      <c r="AC173" s="6" t="inlineStr">
        <is>
          <t>ok</t>
        </is>
      </c>
      <c r="AD173" s="6" t="inlineStr">
        <is>
          <t>up</t>
        </is>
      </c>
      <c r="AE173" s="17" t="n">
        <v>59.837</v>
      </c>
      <c r="AF173" s="17" t="n">
        <v>56.957</v>
      </c>
      <c r="AG173" s="17" t="n">
        <v>62.7169</v>
      </c>
      <c r="AH173" s="20" t="n">
        <v>46332</v>
      </c>
      <c r="AI173" s="18" t="n">
        <v>0.53</v>
      </c>
      <c r="AJ173" s="6" t="inlineStr">
        <is>
          <t>ok</t>
        </is>
      </c>
      <c r="AK173" s="12" t="n">
        <v>2</v>
      </c>
      <c r="AL173" s="15" t="inlineStr">
        <is>
          <t>Cantor Fitzgerald Maintains Neutral on Dynatrace, Raises Price Target to $65</t>
        </is>
      </c>
      <c r="AM173" s="17" t="n">
        <v>58.64</v>
      </c>
      <c r="AN173" s="19" t="n">
        <v>-0.0375</v>
      </c>
      <c r="AO173" s="17" t="n">
        <v>98992.64</v>
      </c>
      <c r="AP173" s="17" t="n">
        <v>19258.95</v>
      </c>
      <c r="AQ173" s="19" t="n">
        <v>0.0833</v>
      </c>
      <c r="AR173" s="16" t="n"/>
      <c r="AS173" s="17" t="n"/>
      <c r="AT173" s="19" t="n"/>
      <c r="AU173" s="6" t="inlineStr">
        <is>
          <t>paper</t>
        </is>
      </c>
      <c r="AV173" s="6" t="inlineStr">
        <is>
          <t>6f7f923d-4a6d-435f-8adf-d0b1a958b583</t>
        </is>
      </c>
      <c r="AW173" s="6" t="inlineStr">
        <is>
          <t>tdagent-buy-DT-1793369214139</t>
        </is>
      </c>
      <c r="AX173" s="13" t="n">
        <v>46325.588125</v>
      </c>
      <c r="AY173" s="13" t="n">
        <v>46325.588125</v>
      </c>
      <c r="AZ173" s="13" t="n">
        <v>46325.58769675926</v>
      </c>
      <c r="BA173" s="6" t="n"/>
    </row>
    <row r="174">
      <c r="A174" s="12" t="n">
        <v>173</v>
      </c>
      <c r="B174" s="13" t="n">
        <v>46325.63380787037</v>
      </c>
      <c r="C174" s="13" t="n">
        <v>46325.42547453703</v>
      </c>
      <c r="D174" s="13" t="n">
        <v>46325.59214120371</v>
      </c>
      <c r="E174" s="21" t="inlineStr">
        <is>
          <t>SELL</t>
        </is>
      </c>
      <c r="F174" s="6" t="inlineStr">
        <is>
          <t>DT</t>
        </is>
      </c>
      <c r="G174" s="15" t="inlineStr">
        <is>
          <t>DT</t>
        </is>
      </c>
      <c r="H174" s="6" t="inlineStr">
        <is>
          <t>NYSE</t>
        </is>
      </c>
      <c r="I174" s="6" t="inlineStr">
        <is>
          <t>filled</t>
        </is>
      </c>
      <c r="J174" s="16" t="n">
        <v>27.311201906</v>
      </c>
      <c r="K174" s="17" t="n">
        <v>58.09293</v>
      </c>
      <c r="L174" s="17">
        <f>IF(AND(ISNUMBER(J174),ISNUMBER(K174)),J174*K174,"")</f>
        <v/>
      </c>
      <c r="M174" s="17" t="n"/>
      <c r="N174" s="16" t="n">
        <v>27.311201906</v>
      </c>
      <c r="O174" s="6" t="inlineStr">
        <is>
          <t>bad day</t>
        </is>
      </c>
      <c r="P174" s="15" t="inlineStr">
        <is>
          <t>Bad day: down 4.7% today and only 4 of 5 green</t>
        </is>
      </c>
      <c r="Q174" s="12" t="n">
        <v>4</v>
      </c>
      <c r="R174" s="6" t="inlineStr">
        <is>
          <t>ok</t>
        </is>
      </c>
      <c r="S174" s="18" t="n">
        <v>0.623</v>
      </c>
      <c r="T174" s="12" t="n">
        <v>53</v>
      </c>
      <c r="U174" s="19" t="n">
        <v>0.0115</v>
      </c>
      <c r="V174" s="19" t="n">
        <v>0.2893</v>
      </c>
      <c r="W174" s="12" t="n"/>
      <c r="X174" s="6" t="inlineStr">
        <is>
          <t>watch</t>
        </is>
      </c>
      <c r="Y174" s="19" t="n">
        <v>0.009899999999999999</v>
      </c>
      <c r="Z174" s="6" t="inlineStr">
        <is>
          <t>ok</t>
        </is>
      </c>
      <c r="AA174" s="12" t="n">
        <v>100</v>
      </c>
      <c r="AB174" s="15" t="n"/>
      <c r="AC174" s="6" t="inlineStr">
        <is>
          <t>ok</t>
        </is>
      </c>
      <c r="AD174" s="6" t="inlineStr">
        <is>
          <t>up</t>
        </is>
      </c>
      <c r="AE174" s="17" t="n">
        <v>59.3861</v>
      </c>
      <c r="AF174" s="17" t="n">
        <v>56.4959</v>
      </c>
      <c r="AG174" s="17" t="n">
        <v>62.2763</v>
      </c>
      <c r="AH174" s="20" t="n">
        <v>46332</v>
      </c>
      <c r="AI174" s="18" t="n">
        <v>0.53</v>
      </c>
      <c r="AJ174" s="6" t="inlineStr">
        <is>
          <t>ok</t>
        </is>
      </c>
      <c r="AK174" s="12" t="n">
        <v>2</v>
      </c>
      <c r="AL174" s="15" t="inlineStr">
        <is>
          <t>Cantor Fitzgerald Maintains Neutral on Dynatrace, Raises Price Target to $65</t>
        </is>
      </c>
      <c r="AM174" s="17" t="n">
        <v>58.23</v>
      </c>
      <c r="AN174" s="19" t="n">
        <v>-0.0449</v>
      </c>
      <c r="AO174" s="17" t="n">
        <v>98829.39</v>
      </c>
      <c r="AP174" s="17" t="n">
        <v>17654.69</v>
      </c>
      <c r="AQ174" s="19" t="n">
        <v>0.0833</v>
      </c>
      <c r="AR174" s="16" t="n">
        <v>27.311201906</v>
      </c>
      <c r="AS174" s="17" t="n">
        <v>58.74</v>
      </c>
      <c r="AT174" s="19" t="n">
        <v>-0.0104</v>
      </c>
      <c r="AU174" s="6" t="inlineStr">
        <is>
          <t>paper</t>
        </is>
      </c>
      <c r="AV174" s="6" t="inlineStr">
        <is>
          <t>3aba86b3-800e-4454-825b-262acadd79a0</t>
        </is>
      </c>
      <c r="AW174" s="6" t="inlineStr">
        <is>
          <t>tdagent-sell-DT-1793369558035</t>
        </is>
      </c>
      <c r="AX174" s="13" t="n">
        <v>46325.59210648148</v>
      </c>
      <c r="AY174" s="13" t="n">
        <v>46325.59214120371</v>
      </c>
      <c r="AZ174" s="13" t="n">
        <v>46325.59181712963</v>
      </c>
      <c r="BA174" s="6" t="n"/>
    </row>
    <row r="175">
      <c r="A175" s="12" t="n">
        <v>174</v>
      </c>
      <c r="B175" s="13" t="n">
        <v>46325.63377314815</v>
      </c>
      <c r="C175" s="13" t="n">
        <v>46325.42543981481</v>
      </c>
      <c r="D175" s="13" t="n">
        <v>46325.59210648148</v>
      </c>
      <c r="E175" s="21" t="inlineStr">
        <is>
          <t>SELL</t>
        </is>
      </c>
      <c r="F175" s="6" t="inlineStr">
        <is>
          <t>TENB</t>
        </is>
      </c>
      <c r="G175" s="15" t="inlineStr">
        <is>
          <t>TENB</t>
        </is>
      </c>
      <c r="H175" s="6" t="inlineStr">
        <is>
          <t>NASDAQ</t>
        </is>
      </c>
      <c r="I175" s="6" t="inlineStr">
        <is>
          <t>filled</t>
        </is>
      </c>
      <c r="J175" s="16" t="n">
        <v>34.46297755</v>
      </c>
      <c r="K175" s="17" t="n">
        <v>49.54</v>
      </c>
      <c r="L175" s="17">
        <f>IF(AND(ISNUMBER(J175),ISNUMBER(K175)),J175*K175,"")</f>
        <v/>
      </c>
      <c r="M175" s="17" t="n"/>
      <c r="N175" s="16" t="n">
        <v>34.46297755</v>
      </c>
      <c r="O175" s="6" t="inlineStr">
        <is>
          <t>bad day</t>
        </is>
      </c>
      <c r="P175" s="15" t="inlineStr">
        <is>
          <t>Bad day: down 4.0% today and only 4 of 5 green</t>
        </is>
      </c>
      <c r="Q175" s="12" t="n">
        <v>4</v>
      </c>
      <c r="R175" s="6" t="inlineStr">
        <is>
          <t>ok</t>
        </is>
      </c>
      <c r="S175" s="18" t="n">
        <v>0.625</v>
      </c>
      <c r="T175" s="12" t="n">
        <v>32</v>
      </c>
      <c r="U175" s="19" t="n">
        <v>0.0703</v>
      </c>
      <c r="V175" s="19" t="n">
        <v>0.2893</v>
      </c>
      <c r="W175" s="12" t="n"/>
      <c r="X175" s="6" t="inlineStr">
        <is>
          <t>ok</t>
        </is>
      </c>
      <c r="Y175" s="19" t="n">
        <v>0.0012</v>
      </c>
      <c r="Z175" s="6" t="inlineStr">
        <is>
          <t>ok</t>
        </is>
      </c>
      <c r="AA175" s="12" t="n">
        <v>100</v>
      </c>
      <c r="AB175" s="15" t="n"/>
      <c r="AC175" s="6" t="inlineStr">
        <is>
          <t>ok</t>
        </is>
      </c>
      <c r="AD175" s="6" t="inlineStr">
        <is>
          <t>up</t>
        </is>
      </c>
      <c r="AE175" s="17" t="n">
        <v>51.9228</v>
      </c>
      <c r="AF175" s="17" t="n">
        <v>46.7659</v>
      </c>
      <c r="AG175" s="17" t="n">
        <v>57.0797</v>
      </c>
      <c r="AH175" s="20" t="n">
        <v>46332</v>
      </c>
      <c r="AI175" s="18" t="n">
        <v>0.5600000000000001</v>
      </c>
      <c r="AJ175" s="6" t="inlineStr">
        <is>
          <t>watch</t>
        </is>
      </c>
      <c r="AK175" s="12" t="n">
        <v>10</v>
      </c>
      <c r="AL175" s="15" t="inlineStr">
        <is>
          <t>Canaccord Genuity Maintains Buy on Tenable Holdings, Raises Price Target to $54</t>
        </is>
      </c>
      <c r="AM175" s="17" t="n">
        <v>49.815</v>
      </c>
      <c r="AN175" s="19" t="n">
        <v>-0.0369</v>
      </c>
      <c r="AO175" s="17" t="n">
        <v>98829.39</v>
      </c>
      <c r="AP175" s="17" t="n">
        <v>17654.69</v>
      </c>
      <c r="AQ175" s="19" t="n">
        <v>0.0833</v>
      </c>
      <c r="AR175" s="16" t="n">
        <v>34.46297755</v>
      </c>
      <c r="AS175" s="17" t="n">
        <v>50.78</v>
      </c>
      <c r="AT175" s="19" t="n">
        <v>-0.0209</v>
      </c>
      <c r="AU175" s="6" t="inlineStr">
        <is>
          <t>paper</t>
        </is>
      </c>
      <c r="AV175" s="6" t="inlineStr">
        <is>
          <t>984f46f9-0553-4a10-aeff-3f4ecae19aab</t>
        </is>
      </c>
      <c r="AW175" s="6" t="inlineStr">
        <is>
          <t>tdagent-sell-TENB-1793369558105</t>
        </is>
      </c>
      <c r="AX175" s="13" t="n">
        <v>46325.59210648148</v>
      </c>
      <c r="AY175" s="13" t="n">
        <v>46325.59210648148</v>
      </c>
      <c r="AZ175" s="13" t="n">
        <v>46325.59181712963</v>
      </c>
      <c r="BA175" s="6" t="n"/>
    </row>
    <row r="176">
      <c r="A176" s="12" t="n">
        <v>175</v>
      </c>
      <c r="B176" s="13" t="n">
        <v>46325.63378472222</v>
      </c>
      <c r="C176" s="13" t="n">
        <v>46325.42545138889</v>
      </c>
      <c r="D176" s="13" t="n">
        <v>46325.59211805555</v>
      </c>
      <c r="E176" s="21" t="inlineStr">
        <is>
          <t>SELL</t>
        </is>
      </c>
      <c r="F176" s="6" t="inlineStr">
        <is>
          <t>ZS</t>
        </is>
      </c>
      <c r="G176" s="15" t="inlineStr">
        <is>
          <t>ZS</t>
        </is>
      </c>
      <c r="H176" s="6" t="inlineStr">
        <is>
          <t>NASDAQ</t>
        </is>
      </c>
      <c r="I176" s="6" t="inlineStr">
        <is>
          <t>filled</t>
        </is>
      </c>
      <c r="J176" s="16" t="n">
        <v>2.823788187</v>
      </c>
      <c r="K176" s="17" t="n">
        <v>238.21</v>
      </c>
      <c r="L176" s="17">
        <f>IF(AND(ISNUMBER(J176),ISNUMBER(K176)),J176*K176,"")</f>
        <v/>
      </c>
      <c r="M176" s="17" t="n"/>
      <c r="N176" s="16" t="n">
        <v>2.823788187</v>
      </c>
      <c r="O176" s="6" t="inlineStr">
        <is>
          <t>bad day</t>
        </is>
      </c>
      <c r="P176" s="15" t="inlineStr">
        <is>
          <t>Bad day: down 3.7% today and only 4 of 5 green</t>
        </is>
      </c>
      <c r="Q176" s="12" t="n">
        <v>4</v>
      </c>
      <c r="R176" s="6" t="inlineStr">
        <is>
          <t>ok</t>
        </is>
      </c>
      <c r="S176" s="18" t="n">
        <v>0.5580000000000001</v>
      </c>
      <c r="T176" s="12" t="n">
        <v>43</v>
      </c>
      <c r="U176" s="19" t="n">
        <v>0.0164</v>
      </c>
      <c r="V176" s="19" t="n">
        <v>0.2893</v>
      </c>
      <c r="W176" s="12" t="n"/>
      <c r="X176" s="6" t="inlineStr">
        <is>
          <t>ok</t>
        </is>
      </c>
      <c r="Y176" s="19" t="n">
        <v>0.0009</v>
      </c>
      <c r="Z176" s="6" t="inlineStr">
        <is>
          <t>ok</t>
        </is>
      </c>
      <c r="AA176" s="12" t="n">
        <v>100</v>
      </c>
      <c r="AB176" s="15" t="n"/>
      <c r="AC176" s="6" t="inlineStr">
        <is>
          <t>ok</t>
        </is>
      </c>
      <c r="AD176" s="6" t="inlineStr">
        <is>
          <t>up</t>
        </is>
      </c>
      <c r="AE176" s="17" t="n">
        <v>248.2477</v>
      </c>
      <c r="AF176" s="17" t="n">
        <v>225.5784</v>
      </c>
      <c r="AG176" s="17" t="n">
        <v>270.9171</v>
      </c>
      <c r="AH176" s="20" t="n">
        <v>46332</v>
      </c>
      <c r="AI176" s="18" t="n">
        <v>0.55</v>
      </c>
      <c r="AJ176" s="6" t="inlineStr">
        <is>
          <t>alert</t>
        </is>
      </c>
      <c r="AK176" s="12" t="n">
        <v>3</v>
      </c>
      <c r="AL176" s="15" t="inlineStr">
        <is>
          <t>ServiceNow Posts Downbeat Q3 Earnings, Joins Sprouts Farmers Market, Alphabet And Other Big Stocks Moving Lower In Thursday’s Pre-Market Session</t>
        </is>
      </c>
      <c r="AM176" s="17" t="n">
        <v>239.18</v>
      </c>
      <c r="AN176" s="19" t="n">
        <v>-0.0345</v>
      </c>
      <c r="AO176" s="17" t="n">
        <v>98829.39</v>
      </c>
      <c r="AP176" s="17" t="n">
        <v>17654.69</v>
      </c>
      <c r="AQ176" s="19" t="n">
        <v>0.0833</v>
      </c>
      <c r="AR176" s="16" t="n">
        <v>2.823788187</v>
      </c>
      <c r="AS176" s="17" t="n">
        <v>245.5</v>
      </c>
      <c r="AT176" s="19" t="n">
        <v>-0.0284</v>
      </c>
      <c r="AU176" s="6" t="inlineStr">
        <is>
          <t>paper</t>
        </is>
      </c>
      <c r="AV176" s="6" t="inlineStr">
        <is>
          <t>d4bb7f01-efee-40c4-8955-ac340b823f15</t>
        </is>
      </c>
      <c r="AW176" s="6" t="inlineStr">
        <is>
          <t>tdagent-sell-ZS-1793369558209</t>
        </is>
      </c>
      <c r="AX176" s="13" t="n">
        <v>46325.59210648148</v>
      </c>
      <c r="AY176" s="13" t="n">
        <v>46325.59211805555</v>
      </c>
      <c r="AZ176" s="13" t="n">
        <v>46325.59181712963</v>
      </c>
      <c r="BA176" s="6" t="n"/>
    </row>
    <row r="177">
      <c r="A177" s="12" t="n">
        <v>176</v>
      </c>
      <c r="B177" s="13" t="n">
        <v>46325.63377314815</v>
      </c>
      <c r="C177" s="13" t="n">
        <v>46325.42543981481</v>
      </c>
      <c r="D177" s="13" t="n">
        <v>46325.59210648148</v>
      </c>
      <c r="E177" s="14" t="inlineStr">
        <is>
          <t>BUY</t>
        </is>
      </c>
      <c r="F177" s="6" t="inlineStr">
        <is>
          <t>MA</t>
        </is>
      </c>
      <c r="G177" s="15" t="inlineStr">
        <is>
          <t>Mastercard Incorporated</t>
        </is>
      </c>
      <c r="H177" s="6" t="inlineStr">
        <is>
          <t>NYSE</t>
        </is>
      </c>
      <c r="I177" s="6" t="inlineStr">
        <is>
          <t>filled</t>
        </is>
      </c>
      <c r="J177" s="16" t="n">
        <v>2.314697642</v>
      </c>
      <c r="K177" s="17" t="n">
        <v>635.34</v>
      </c>
      <c r="L177" s="17">
        <f>IF(AND(ISNUMBER(J177),ISNUMBER(K177)),J177*K177,"")</f>
        <v/>
      </c>
      <c r="M177" s="17" t="n">
        <v>1470.63</v>
      </c>
      <c r="N177" s="16" t="n"/>
      <c r="O177" s="6" t="inlineStr">
        <is>
          <t>4+/5 green</t>
        </is>
      </c>
      <c r="P177" s="15" t="inlineStr">
        <is>
          <t>4 of 5 green, time machine green, rank #3, 8.33% of the $17,654.69 free cash split 12 ways</t>
        </is>
      </c>
      <c r="Q177" s="12" t="n">
        <v>4</v>
      </c>
      <c r="R177" s="6" t="inlineStr">
        <is>
          <t>ok</t>
        </is>
      </c>
      <c r="S177" s="18" t="n">
        <v>0.553</v>
      </c>
      <c r="T177" s="12" t="n">
        <v>47</v>
      </c>
      <c r="U177" s="19" t="n">
        <v>0.006500000000000001</v>
      </c>
      <c r="V177" s="19" t="n">
        <v>0.2893</v>
      </c>
      <c r="W177" s="12" t="n">
        <v>3</v>
      </c>
      <c r="X177" s="6" t="inlineStr">
        <is>
          <t>ok</t>
        </is>
      </c>
      <c r="Y177" s="19" t="n">
        <v>0.0003</v>
      </c>
      <c r="Z177" s="6" t="inlineStr">
        <is>
          <t>ok</t>
        </is>
      </c>
      <c r="AA177" s="12" t="n">
        <v>100</v>
      </c>
      <c r="AB177" s="15" t="n"/>
      <c r="AC177" s="6" t="inlineStr">
        <is>
          <t>ok</t>
        </is>
      </c>
      <c r="AD177" s="6" t="inlineStr">
        <is>
          <t>up</t>
        </is>
      </c>
      <c r="AE177" s="17" t="n">
        <v>642.7337</v>
      </c>
      <c r="AF177" s="17" t="n">
        <v>624.9244</v>
      </c>
      <c r="AG177" s="17" t="n">
        <v>660.543</v>
      </c>
      <c r="AH177" s="20" t="n">
        <v>46332</v>
      </c>
      <c r="AI177" s="18" t="n">
        <v>0.57</v>
      </c>
      <c r="AJ177" s="6" t="inlineStr">
        <is>
          <t>watch</t>
        </is>
      </c>
      <c r="AK177" s="12" t="n">
        <v>10</v>
      </c>
      <c r="AL177" s="15" t="inlineStr">
        <is>
          <t>Mastercard CEO Says Consumers Keep Spending Despite Economic Uncertainty</t>
        </is>
      </c>
      <c r="AM177" s="17" t="n">
        <v>635.79</v>
      </c>
      <c r="AN177" s="19" t="n">
        <v>-0.0003</v>
      </c>
      <c r="AO177" s="17" t="n">
        <v>98829.39</v>
      </c>
      <c r="AP177" s="17" t="n">
        <v>17654.69</v>
      </c>
      <c r="AQ177" s="19" t="n">
        <v>0.0833</v>
      </c>
      <c r="AR177" s="16" t="n"/>
      <c r="AS177" s="17" t="n"/>
      <c r="AT177" s="19" t="n"/>
      <c r="AU177" s="6" t="inlineStr">
        <is>
          <t>paper</t>
        </is>
      </c>
      <c r="AV177" s="6" t="inlineStr">
        <is>
          <t>4ca2815e-a09a-46bc-87fa-e5e8ec48e277</t>
        </is>
      </c>
      <c r="AW177" s="6" t="inlineStr">
        <is>
          <t>tdagent-buy-MA-1793369558286</t>
        </is>
      </c>
      <c r="AX177" s="13" t="n">
        <v>46325.59210648148</v>
      </c>
      <c r="AY177" s="13" t="n">
        <v>46325.59210648148</v>
      </c>
      <c r="AZ177" s="13" t="n">
        <v>46325.59181712963</v>
      </c>
      <c r="BA177" s="6" t="n"/>
    </row>
    <row r="178">
      <c r="A178" s="12" t="n">
        <v>177</v>
      </c>
      <c r="B178" s="13" t="n">
        <v>46325.64648148148</v>
      </c>
      <c r="C178" s="13" t="n">
        <v>46325.43814814815</v>
      </c>
      <c r="D178" s="13" t="n">
        <v>46325.60481481482</v>
      </c>
      <c r="E178" s="14" t="inlineStr">
        <is>
          <t>BUY</t>
        </is>
      </c>
      <c r="F178" s="6" t="inlineStr">
        <is>
          <t>ULTA</t>
        </is>
      </c>
      <c r="G178" s="15" t="inlineStr">
        <is>
          <t>Ulta Beauty, Inc. Common Stock</t>
        </is>
      </c>
      <c r="H178" s="6" t="inlineStr">
        <is>
          <t>NASDAQ</t>
        </is>
      </c>
      <c r="I178" s="6" t="inlineStr">
        <is>
          <t>filled</t>
        </is>
      </c>
      <c r="J178" s="16" t="n">
        <v>2.62602669</v>
      </c>
      <c r="K178" s="17" t="n">
        <v>639.1900000000001</v>
      </c>
      <c r="L178" s="17">
        <f>IF(AND(ISNUMBER(J178),ISNUMBER(K178)),J178*K178,"")</f>
        <v/>
      </c>
      <c r="M178" s="17" t="n">
        <v>1678.54</v>
      </c>
      <c r="N178" s="16" t="n"/>
      <c r="O178" s="6" t="inlineStr">
        <is>
          <t>4+/5 green</t>
        </is>
      </c>
      <c r="P178" s="15" t="inlineStr">
        <is>
          <t>5 of 5 green, time machine green, rank #1, 8.33% of the $20,150.61 free cash split 12 ways</t>
        </is>
      </c>
      <c r="Q178" s="12" t="n">
        <v>5</v>
      </c>
      <c r="R178" s="6" t="inlineStr">
        <is>
          <t>ok</t>
        </is>
      </c>
      <c r="S178" s="18" t="n">
        <v>0.696</v>
      </c>
      <c r="T178" s="12" t="n">
        <v>46</v>
      </c>
      <c r="U178" s="19" t="n">
        <v>0.0202</v>
      </c>
      <c r="V178" s="19" t="n">
        <v>0.2893</v>
      </c>
      <c r="W178" s="12" t="n">
        <v>1</v>
      </c>
      <c r="X178" s="6" t="inlineStr">
        <is>
          <t>ok</t>
        </is>
      </c>
      <c r="Y178" s="19" t="n">
        <v>0.0013</v>
      </c>
      <c r="Z178" s="6" t="inlineStr">
        <is>
          <t>ok</t>
        </is>
      </c>
      <c r="AA178" s="12" t="n">
        <v>100</v>
      </c>
      <c r="AB178" s="15" t="n"/>
      <c r="AC178" s="6" t="inlineStr">
        <is>
          <t>ok</t>
        </is>
      </c>
      <c r="AD178" s="6" t="inlineStr">
        <is>
          <t>up</t>
        </is>
      </c>
      <c r="AE178" s="17" t="n">
        <v>649.3541</v>
      </c>
      <c r="AF178" s="17" t="n">
        <v>618.4689</v>
      </c>
      <c r="AG178" s="17" t="n">
        <v>680.2393</v>
      </c>
      <c r="AH178" s="20" t="n">
        <v>46332</v>
      </c>
      <c r="AI178" s="18" t="n">
        <v>0.5600000000000001</v>
      </c>
      <c r="AJ178" s="6" t="inlineStr">
        <is>
          <t>ok</t>
        </is>
      </c>
      <c r="AK178" s="12" t="n">
        <v>0</v>
      </c>
      <c r="AL178" s="15" t="n"/>
      <c r="AM178" s="17" t="n">
        <v>637</v>
      </c>
      <c r="AN178" s="19" t="n">
        <v>-0.0173</v>
      </c>
      <c r="AO178" s="17" t="n">
        <v>98693.97</v>
      </c>
      <c r="AP178" s="17" t="n">
        <v>20150.61</v>
      </c>
      <c r="AQ178" s="19" t="n">
        <v>0.0833</v>
      </c>
      <c r="AR178" s="16" t="n"/>
      <c r="AS178" s="17" t="n"/>
      <c r="AT178" s="19" t="n"/>
      <c r="AU178" s="6" t="inlineStr">
        <is>
          <t>paper</t>
        </is>
      </c>
      <c r="AV178" s="6" t="inlineStr">
        <is>
          <t>36e3edb5-18f6-40c6-a7ff-26e9431c1d43</t>
        </is>
      </c>
      <c r="AW178" s="6" t="inlineStr">
        <is>
          <t>tdagent-buy-ULTA-1793370656122</t>
        </is>
      </c>
      <c r="AX178" s="13" t="n">
        <v>46325.60481481482</v>
      </c>
      <c r="AY178" s="13" t="n">
        <v>46325.60481481482</v>
      </c>
      <c r="AZ178" s="13" t="n">
        <v>46325.60434027778</v>
      </c>
      <c r="BA178" s="6" t="n"/>
    </row>
    <row r="179">
      <c r="A179" s="12" t="n">
        <v>178</v>
      </c>
      <c r="B179" s="13" t="n">
        <v>46325.6675</v>
      </c>
      <c r="C179" s="13" t="n">
        <v>46325.45916666667</v>
      </c>
      <c r="D179" s="13" t="n">
        <v>46325.62583333333</v>
      </c>
      <c r="E179" s="14" t="inlineStr">
        <is>
          <t>BUY</t>
        </is>
      </c>
      <c r="F179" s="6" t="inlineStr">
        <is>
          <t>XOM</t>
        </is>
      </c>
      <c r="G179" s="15" t="inlineStr">
        <is>
          <t>ExxonMobil Holdings Corporation</t>
        </is>
      </c>
      <c r="H179" s="6" t="inlineStr">
        <is>
          <t>NYSE</t>
        </is>
      </c>
      <c r="I179" s="6" t="inlineStr">
        <is>
          <t>filled</t>
        </is>
      </c>
      <c r="J179" s="16" t="n">
        <v>8.322299745</v>
      </c>
      <c r="K179" s="17" t="n">
        <v>184.89</v>
      </c>
      <c r="L179" s="17">
        <f>IF(AND(ISNUMBER(J179),ISNUMBER(K179)),J179*K179,"")</f>
        <v/>
      </c>
      <c r="M179" s="17" t="n">
        <v>1538.72</v>
      </c>
      <c r="N179" s="16" t="n"/>
      <c r="O179" s="6" t="inlineStr">
        <is>
          <t>4+/5 green</t>
        </is>
      </c>
      <c r="P179" s="15" t="inlineStr">
        <is>
          <t>4 of 5 green, time machine green, rank #5, 8.33% of the $18,472.08 free cash split 12 ways</t>
        </is>
      </c>
      <c r="Q179" s="12" t="n">
        <v>4</v>
      </c>
      <c r="R179" s="6" t="inlineStr">
        <is>
          <t>ok</t>
        </is>
      </c>
      <c r="S179" s="18" t="n">
        <v>0.624</v>
      </c>
      <c r="T179" s="12" t="n">
        <v>93</v>
      </c>
      <c r="U179" s="19" t="n">
        <v>0.0119</v>
      </c>
      <c r="V179" s="19" t="n">
        <v>0.2893</v>
      </c>
      <c r="W179" s="12" t="n">
        <v>5</v>
      </c>
      <c r="X179" s="6" t="inlineStr">
        <is>
          <t>ok</t>
        </is>
      </c>
      <c r="Y179" s="19" t="n">
        <v>0.0003</v>
      </c>
      <c r="Z179" s="6" t="inlineStr">
        <is>
          <t>ok</t>
        </is>
      </c>
      <c r="AA179" s="12" t="n">
        <v>100</v>
      </c>
      <c r="AB179" s="15" t="n"/>
      <c r="AC179" s="6" t="inlineStr">
        <is>
          <t>ok</t>
        </is>
      </c>
      <c r="AD179" s="6" t="inlineStr">
        <is>
          <t>up</t>
        </is>
      </c>
      <c r="AE179" s="17" t="n">
        <v>187.3</v>
      </c>
      <c r="AF179" s="17" t="n">
        <v>181.1249</v>
      </c>
      <c r="AG179" s="17" t="n">
        <v>193.4751</v>
      </c>
      <c r="AH179" s="20" t="n">
        <v>46332</v>
      </c>
      <c r="AI179" s="18" t="n">
        <v>0.57</v>
      </c>
      <c r="AJ179" s="6" t="inlineStr">
        <is>
          <t>watch</t>
        </is>
      </c>
      <c r="AK179" s="12" t="n">
        <v>10</v>
      </c>
      <c r="AL179" s="15" t="inlineStr">
        <is>
          <t>Exxon Mobil Q3 2026 Earnings Call Transcript</t>
        </is>
      </c>
      <c r="AM179" s="17" t="n">
        <v>184.77</v>
      </c>
      <c r="AN179" s="19" t="n">
        <v>0.0091</v>
      </c>
      <c r="AO179" s="17" t="n">
        <v>98639.38</v>
      </c>
      <c r="AP179" s="17" t="n">
        <v>18472.08</v>
      </c>
      <c r="AQ179" s="19" t="n">
        <v>0.0833</v>
      </c>
      <c r="AR179" s="16" t="n"/>
      <c r="AS179" s="17" t="n"/>
      <c r="AT179" s="19" t="n"/>
      <c r="AU179" s="6" t="inlineStr">
        <is>
          <t>paper</t>
        </is>
      </c>
      <c r="AV179" s="6" t="inlineStr">
        <is>
          <t>ec6e58b3-03d4-46ad-a5b7-e1b3da62dda8</t>
        </is>
      </c>
      <c r="AW179" s="6" t="inlineStr">
        <is>
          <t>tdagent-buy-XOM-1793372471119</t>
        </is>
      </c>
      <c r="AX179" s="13" t="n">
        <v>46325.62582175926</v>
      </c>
      <c r="AY179" s="13" t="n">
        <v>46325.62583333333</v>
      </c>
      <c r="AZ179" s="13" t="n">
        <v>46325.62520833333</v>
      </c>
      <c r="BA179" s="6" t="n"/>
    </row>
    <row r="180">
      <c r="A180" s="12" t="n">
        <v>179</v>
      </c>
      <c r="B180" s="13" t="n">
        <v>46325.67149305555</v>
      </c>
      <c r="C180" s="13" t="n">
        <v>46325.46315972223</v>
      </c>
      <c r="D180" s="13" t="n">
        <v>46325.62982638889</v>
      </c>
      <c r="E180" s="21" t="inlineStr">
        <is>
          <t>SELL</t>
        </is>
      </c>
      <c r="F180" s="6" t="inlineStr">
        <is>
          <t>ADI</t>
        </is>
      </c>
      <c r="G180" s="15" t="inlineStr">
        <is>
          <t>ADI</t>
        </is>
      </c>
      <c r="H180" s="6" t="inlineStr">
        <is>
          <t>NASDAQ</t>
        </is>
      </c>
      <c r="I180" s="6" t="inlineStr">
        <is>
          <t>filled</t>
        </is>
      </c>
      <c r="J180" s="16" t="n">
        <v>1.637432978</v>
      </c>
      <c r="K180" s="17" t="n">
        <v>414.8</v>
      </c>
      <c r="L180" s="17">
        <f>IF(AND(ISNUMBER(J180),ISNUMBER(K180)),J180*K180,"")</f>
        <v/>
      </c>
      <c r="M180" s="17" t="n"/>
      <c r="N180" s="16" t="n">
        <v>1.637432978</v>
      </c>
      <c r="O180" s="6" t="inlineStr">
        <is>
          <t>bad day</t>
        </is>
      </c>
      <c r="P180" s="15" t="inlineStr">
        <is>
          <t>Bad day: down 4.2% today and only 3 of 5 green</t>
        </is>
      </c>
      <c r="Q180" s="12" t="n">
        <v>3</v>
      </c>
      <c r="R180" s="6" t="inlineStr">
        <is>
          <t>ok</t>
        </is>
      </c>
      <c r="S180" s="18" t="n">
        <v>0.707</v>
      </c>
      <c r="T180" s="12" t="n">
        <v>75</v>
      </c>
      <c r="U180" s="19" t="n">
        <v>0.0147</v>
      </c>
      <c r="V180" s="19" t="n">
        <v>0.2893</v>
      </c>
      <c r="W180" s="12" t="n"/>
      <c r="X180" s="6" t="inlineStr">
        <is>
          <t>ok</t>
        </is>
      </c>
      <c r="Y180" s="19" t="n">
        <v>0.0003</v>
      </c>
      <c r="Z180" s="6" t="inlineStr">
        <is>
          <t>alert</t>
        </is>
      </c>
      <c r="AA180" s="12" t="n">
        <v>70</v>
      </c>
      <c r="AB180" s="15" t="inlineStr">
        <is>
          <t>Rose 4.2% then gave back most of it within hours. Looks like pump-and-fade.</t>
        </is>
      </c>
      <c r="AC180" s="6" t="inlineStr">
        <is>
          <t>watch</t>
        </is>
      </c>
      <c r="AD180" s="6" t="inlineStr">
        <is>
          <t>up</t>
        </is>
      </c>
      <c r="AE180" s="17" t="n">
        <v>422.5446</v>
      </c>
      <c r="AF180" s="17" t="n">
        <v>403.3831</v>
      </c>
      <c r="AG180" s="17" t="n">
        <v>441.706</v>
      </c>
      <c r="AH180" s="20" t="n">
        <v>46332</v>
      </c>
      <c r="AI180" s="18" t="n">
        <v>0.53</v>
      </c>
      <c r="AJ180" s="6" t="inlineStr">
        <is>
          <t>ok</t>
        </is>
      </c>
      <c r="AK180" s="12" t="n">
        <v>1</v>
      </c>
      <c r="AL180" s="15" t="inlineStr">
        <is>
          <t>If You Invested $1000 In Analog Devices Stock 5 Years Ago, You Would Have This Much Today</t>
        </is>
      </c>
      <c r="AM180" s="17" t="n">
        <v>414.88</v>
      </c>
      <c r="AN180" s="19" t="n">
        <v>-0.0423</v>
      </c>
      <c r="AO180" s="17" t="n">
        <v>98617.39</v>
      </c>
      <c r="AP180" s="17" t="n">
        <v>16933.37</v>
      </c>
      <c r="AQ180" s="19" t="n">
        <v>0.0833</v>
      </c>
      <c r="AR180" s="16" t="n">
        <v>1.637432978</v>
      </c>
      <c r="AS180" s="17" t="n">
        <v>423.37</v>
      </c>
      <c r="AT180" s="19" t="n">
        <v>-0.0194</v>
      </c>
      <c r="AU180" s="6" t="inlineStr">
        <is>
          <t>paper</t>
        </is>
      </c>
      <c r="AV180" s="6" t="inlineStr">
        <is>
          <t>7d07c064-98ce-48f2-bacd-1e7bf00c735b</t>
        </is>
      </c>
      <c r="AW180" s="6" t="inlineStr">
        <is>
          <t>tdagent-sell-ADI-1793372817147</t>
        </is>
      </c>
      <c r="AX180" s="13" t="n">
        <v>46325.62982638889</v>
      </c>
      <c r="AY180" s="13" t="n">
        <v>46325.62982638889</v>
      </c>
      <c r="AZ180" s="13" t="n">
        <v>46325.629375</v>
      </c>
      <c r="BA180" s="6" t="n"/>
    </row>
    <row r="181">
      <c r="A181" s="12" t="n">
        <v>180</v>
      </c>
      <c r="B181" s="13" t="n">
        <v>46325.78715277778</v>
      </c>
      <c r="C181" s="13" t="n">
        <v>46325.57881944445</v>
      </c>
      <c r="D181" s="13" t="n">
        <v>46325.74548611111</v>
      </c>
      <c r="E181" s="21" t="inlineStr">
        <is>
          <t>SELL</t>
        </is>
      </c>
      <c r="F181" s="6" t="inlineStr">
        <is>
          <t>EQT</t>
        </is>
      </c>
      <c r="G181" s="15" t="n"/>
      <c r="H181" s="6" t="n"/>
      <c r="I181" s="6" t="inlineStr">
        <is>
          <t>filled</t>
        </is>
      </c>
      <c r="J181" s="16" t="n">
        <v>150.343801052</v>
      </c>
      <c r="K181" s="17" t="n">
        <v>55.37</v>
      </c>
      <c r="L181" s="17">
        <f>IF(AND(ISNUMBER(J181),ISNUMBER(K181)),J181*K181,"")</f>
        <v/>
      </c>
      <c r="M181" s="17" t="n"/>
      <c r="N181" s="16" t="n">
        <v>150.343801052</v>
      </c>
      <c r="O181" s="6" t="inlineStr">
        <is>
          <t>stop-loss (Alpaca order)</t>
        </is>
      </c>
      <c r="P181" s="15" t="inlineStr">
        <is>
          <t>Alpaca stop order triggered at 55.38 (the stock's sell line)</t>
        </is>
      </c>
      <c r="Q181" s="12" t="n"/>
      <c r="R181" s="6" t="n"/>
      <c r="S181" s="18" t="n"/>
      <c r="T181" s="12" t="n"/>
      <c r="U181" s="19" t="n"/>
      <c r="V181" s="19" t="n"/>
      <c r="W181" s="12" t="n"/>
      <c r="X181" s="6" t="n"/>
      <c r="Y181" s="19" t="n"/>
      <c r="Z181" s="6" t="n"/>
      <c r="AA181" s="12" t="n"/>
      <c r="AB181" s="15" t="n"/>
      <c r="AC181" s="6" t="n"/>
      <c r="AD181" s="6" t="n"/>
      <c r="AE181" s="17" t="n"/>
      <c r="AF181" s="17" t="n"/>
      <c r="AG181" s="17" t="n"/>
      <c r="AH181" s="20" t="n"/>
      <c r="AI181" s="18" t="n"/>
      <c r="AJ181" s="6" t="n"/>
      <c r="AK181" s="12" t="n"/>
      <c r="AL181" s="15" t="n"/>
      <c r="AM181" s="17" t="n"/>
      <c r="AN181" s="19" t="n"/>
      <c r="AO181" s="17" t="n"/>
      <c r="AP181" s="17" t="n"/>
      <c r="AQ181" s="19" t="n"/>
      <c r="AR181" s="16" t="n"/>
      <c r="AS181" s="17" t="n"/>
      <c r="AT181" s="19" t="n"/>
      <c r="AU181" s="6" t="inlineStr">
        <is>
          <t>paper</t>
        </is>
      </c>
      <c r="AV181" s="6" t="inlineStr">
        <is>
          <t>3eb0bec5-6e74-4375-a7c3-ee4412ce6ae7</t>
        </is>
      </c>
      <c r="AW181" s="6" t="inlineStr">
        <is>
          <t>tdagent-stop-EQT-1793379721807</t>
        </is>
      </c>
      <c r="AX181" s="13" t="n">
        <v>46325.7097337963</v>
      </c>
      <c r="AY181" s="13" t="n">
        <v>46325.74548611111</v>
      </c>
      <c r="AZ181" s="13" t="n"/>
      <c r="BA181" s="6" t="n"/>
    </row>
    <row r="182">
      <c r="A182" s="12" t="n">
        <v>181</v>
      </c>
      <c r="B182" s="13" t="n">
        <v>46325.82831018518</v>
      </c>
      <c r="C182" s="13" t="n">
        <v>46325.61997685185</v>
      </c>
      <c r="D182" s="13" t="n">
        <v>46325.78664351852</v>
      </c>
      <c r="E182" s="21" t="inlineStr">
        <is>
          <t>SELL</t>
        </is>
      </c>
      <c r="F182" s="6" t="inlineStr">
        <is>
          <t>ISRG</t>
        </is>
      </c>
      <c r="G182" s="15" t="inlineStr">
        <is>
          <t>ISRG</t>
        </is>
      </c>
      <c r="H182" s="6" t="inlineStr">
        <is>
          <t>NASDAQ</t>
        </is>
      </c>
      <c r="I182" s="6" t="inlineStr">
        <is>
          <t>filled</t>
        </is>
      </c>
      <c r="J182" s="16" t="n">
        <v>18.497085557</v>
      </c>
      <c r="K182" s="17" t="n">
        <v>433.29</v>
      </c>
      <c r="L182" s="17">
        <f>IF(AND(ISNUMBER(J182),ISNUMBER(K182)),J182*K182,"")</f>
        <v/>
      </c>
      <c r="M182" s="17" t="n"/>
      <c r="N182" s="16" t="n">
        <v>18.497085557</v>
      </c>
      <c r="O182" s="6" t="inlineStr">
        <is>
          <t>bad day</t>
        </is>
      </c>
      <c r="P182" s="15" t="inlineStr">
        <is>
          <t>Bad day: down 3.4% today and only 4 of 5 green</t>
        </is>
      </c>
      <c r="Q182" s="12" t="n">
        <v>4</v>
      </c>
      <c r="R182" s="6" t="inlineStr">
        <is>
          <t>ok</t>
        </is>
      </c>
      <c r="S182" s="18" t="n">
        <v>0.552</v>
      </c>
      <c r="T182" s="12" t="n">
        <v>29</v>
      </c>
      <c r="U182" s="19" t="n">
        <v>0.0068</v>
      </c>
      <c r="V182" s="19" t="n">
        <v>0.2893</v>
      </c>
      <c r="W182" s="12" t="n"/>
      <c r="X182" s="6" t="inlineStr">
        <is>
          <t>watch</t>
        </is>
      </c>
      <c r="Y182" s="19" t="n">
        <v>0.0077</v>
      </c>
      <c r="Z182" s="6" t="inlineStr">
        <is>
          <t>ok</t>
        </is>
      </c>
      <c r="AA182" s="12" t="n">
        <v>100</v>
      </c>
      <c r="AB182" s="15" t="n"/>
      <c r="AC182" s="6" t="inlineStr">
        <is>
          <t>ok</t>
        </is>
      </c>
      <c r="AD182" s="6" t="inlineStr">
        <is>
          <t>up</t>
        </is>
      </c>
      <c r="AE182" s="17" t="n">
        <v>441.1307</v>
      </c>
      <c r="AF182" s="17" t="n">
        <v>423.079</v>
      </c>
      <c r="AG182" s="17" t="n">
        <v>459.1824</v>
      </c>
      <c r="AH182" s="20" t="n">
        <v>46332</v>
      </c>
      <c r="AI182" s="18" t="n">
        <v>0.55</v>
      </c>
      <c r="AJ182" s="6" t="inlineStr">
        <is>
          <t>ok</t>
        </is>
      </c>
      <c r="AK182" s="12" t="n">
        <v>1</v>
      </c>
      <c r="AL182" s="15" t="inlineStr">
        <is>
          <t>Apollo Hospitals Adopts Intuitive's Da Vinci 5 Surgical System</t>
        </is>
      </c>
      <c r="AM182" s="17" t="n">
        <v>434.06</v>
      </c>
      <c r="AN182" s="19" t="n">
        <v>-0.0331</v>
      </c>
      <c r="AO182" s="17" t="n">
        <v>98407.46000000001</v>
      </c>
      <c r="AP182" s="17" t="n">
        <v>26809.9</v>
      </c>
      <c r="AQ182" s="19" t="n">
        <v>0.0833</v>
      </c>
      <c r="AR182" s="16" t="n">
        <v>18.497085557</v>
      </c>
      <c r="AS182" s="17" t="n">
        <v>447.77</v>
      </c>
      <c r="AT182" s="19" t="n">
        <v>-0.0315</v>
      </c>
      <c r="AU182" s="6" t="inlineStr">
        <is>
          <t>paper</t>
        </is>
      </c>
      <c r="AV182" s="6" t="inlineStr">
        <is>
          <t>7d8948d7-4093-47c2-9729-f5016a871893</t>
        </is>
      </c>
      <c r="AW182" s="6" t="inlineStr">
        <is>
          <t>tdagent-sell-ISRG-1793386363557</t>
        </is>
      </c>
      <c r="AX182" s="13" t="n">
        <v>46325.7866087963</v>
      </c>
      <c r="AY182" s="13" t="n">
        <v>46325.78664351852</v>
      </c>
      <c r="AZ182" s="13" t="n">
        <v>46325.78628472222</v>
      </c>
      <c r="BA18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>
        <v>46325.82831018518</v>
      </c>
      <c r="I75" s="22" t="n">
        <v>46325.61997685185</v>
      </c>
      <c r="J75" s="17" t="n">
        <v>433.29</v>
      </c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inlineStr">
        <is>
          <t>bad day</t>
        </is>
      </c>
      <c r="P75" s="6" t="inlineStr">
        <is>
          <t>Closed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>
        <v>46325.78715277778</v>
      </c>
      <c r="I78" s="22" t="n">
        <v>46325.57881944445</v>
      </c>
      <c r="J78" s="17" t="n">
        <v>55.37</v>
      </c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inlineStr">
        <is>
          <t>stop-loss (Alpaca order)</t>
        </is>
      </c>
      <c r="P78" s="6" t="inlineStr">
        <is>
          <t>Closed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>
        <v>46325.6212037037</v>
      </c>
      <c r="I83" s="22" t="n">
        <v>46325.41287037037</v>
      </c>
      <c r="J83" s="17" t="n">
        <v>16.09581</v>
      </c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inlineStr">
        <is>
          <t>bad day</t>
        </is>
      </c>
      <c r="P83" s="6" t="inlineStr">
        <is>
          <t>Closed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>
        <v>46325.67149305555</v>
      </c>
      <c r="I86" s="22" t="n">
        <v>46325.46315972223</v>
      </c>
      <c r="J86" s="17" t="n">
        <v>414.8</v>
      </c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inlineStr">
        <is>
          <t>bad day</t>
        </is>
      </c>
      <c r="P86" s="6" t="inlineStr">
        <is>
          <t>Closed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>
        <v>46325.61847222222</v>
      </c>
      <c r="I94" s="22" t="n">
        <v>46325.41013888889</v>
      </c>
      <c r="J94" s="17" t="n">
        <v>331.63</v>
      </c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inlineStr">
        <is>
          <t>stop-loss (Alpaca order)</t>
        </is>
      </c>
      <c r="P94" s="6" t="inlineStr">
        <is>
          <t>Closed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>
        <v>46325.62011574074</v>
      </c>
      <c r="I95" s="22" t="n">
        <v>46325.41178240741</v>
      </c>
      <c r="J95" s="17" t="n">
        <v>64.54000000000001</v>
      </c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inlineStr">
        <is>
          <t>stop-loss (Alpaca order)</t>
        </is>
      </c>
      <c r="P95" s="6" t="inlineStr">
        <is>
          <t>Closed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>
        <v>46325.63378472222</v>
      </c>
      <c r="I96" s="22" t="n">
        <v>46325.42545138889</v>
      </c>
      <c r="J96" s="17" t="n">
        <v>238.21</v>
      </c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inlineStr">
        <is>
          <t>bad day</t>
        </is>
      </c>
      <c r="P96" s="6" t="inlineStr">
        <is>
          <t>Closed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>
        <v>46325.7096875</v>
      </c>
      <c r="I102" s="22" t="n">
        <v>46325.50135416666</v>
      </c>
      <c r="J102" s="17" t="n">
        <v>24.21</v>
      </c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inlineStr">
        <is>
          <t>stop-loss (Alpaca order)</t>
        </is>
      </c>
      <c r="P102" s="6" t="inlineStr">
        <is>
          <t>Closed</t>
        </is>
      </c>
    </row>
    <row r="103">
      <c r="A103" s="6" t="inlineStr">
        <is>
          <t>TENB</t>
        </is>
      </c>
      <c r="B103" s="6" t="inlineStr">
        <is>
          <t>Tenable Holdings, Inc. Common Stock</t>
        </is>
      </c>
      <c r="C103" s="22" t="n">
        <v>46325.62579861111</v>
      </c>
      <c r="D103" s="22" t="n">
        <v>46325.41746527778</v>
      </c>
      <c r="E103" s="17" t="n">
        <v>50.78</v>
      </c>
      <c r="F103" s="16" t="n">
        <v>34.46297755</v>
      </c>
      <c r="G103" s="17">
        <f>E103*F103</f>
        <v/>
      </c>
      <c r="H103" s="22" t="n">
        <v>46325.63377314815</v>
      </c>
      <c r="I103" s="22" t="n">
        <v>46325.42543981481</v>
      </c>
      <c r="J103" s="17" t="n">
        <v>49.54</v>
      </c>
      <c r="K103" s="17">
        <f>IF(ISNUMBER(J103),J103*F103,"")</f>
        <v/>
      </c>
      <c r="L103" s="23">
        <f>IF(ISNUMBER(J103),K103-G103,"")</f>
        <v/>
      </c>
      <c r="M103" s="24">
        <f>IF(ISNUMBER(J103),L103/G103,"")</f>
        <v/>
      </c>
      <c r="N103" s="25">
        <f>IF(ISNUMBER(H103),H103-C103,"")</f>
        <v/>
      </c>
      <c r="O103" s="6" t="inlineStr">
        <is>
          <t>bad day</t>
        </is>
      </c>
      <c r="P103" s="6" t="inlineStr">
        <is>
          <t>Closed</t>
        </is>
      </c>
    </row>
    <row r="104">
      <c r="A104" s="6" t="inlineStr">
        <is>
          <t>DT</t>
        </is>
      </c>
      <c r="B104" s="6" t="inlineStr">
        <is>
          <t>Dynatrace, Inc.</t>
        </is>
      </c>
      <c r="C104" s="22" t="n">
        <v>46325.62979166667</v>
      </c>
      <c r="D104" s="22" t="n">
        <v>46325.42145833333</v>
      </c>
      <c r="E104" s="17" t="n">
        <v>58.74</v>
      </c>
      <c r="F104" s="16" t="n">
        <v>27.311201906</v>
      </c>
      <c r="G104" s="17">
        <f>E104*F104</f>
        <v/>
      </c>
      <c r="H104" s="22" t="n">
        <v>46325.63380787037</v>
      </c>
      <c r="I104" s="22" t="n">
        <v>46325.42547453703</v>
      </c>
      <c r="J104" s="17" t="n">
        <v>58.09293</v>
      </c>
      <c r="K104" s="17">
        <f>IF(ISNUMBER(J104),J104*F104,"")</f>
        <v/>
      </c>
      <c r="L104" s="23">
        <f>IF(ISNUMBER(J104),K104-G104,"")</f>
        <v/>
      </c>
      <c r="M104" s="24">
        <f>IF(ISNUMBER(J104),L104/G104,"")</f>
        <v/>
      </c>
      <c r="N104" s="25">
        <f>IF(ISNUMBER(H104),H104-C104,"")</f>
        <v/>
      </c>
      <c r="O104" s="6" t="inlineStr">
        <is>
          <t>bad day</t>
        </is>
      </c>
      <c r="P104" s="6" t="inlineStr">
        <is>
          <t>Closed</t>
        </is>
      </c>
    </row>
    <row r="105">
      <c r="A105" s="6" t="inlineStr">
        <is>
          <t>MA</t>
        </is>
      </c>
      <c r="B105" s="6" t="inlineStr">
        <is>
          <t>Mastercard Incorporated</t>
        </is>
      </c>
      <c r="C105" s="22" t="n">
        <v>46325.63377314815</v>
      </c>
      <c r="D105" s="22" t="n">
        <v>46325.42543981481</v>
      </c>
      <c r="E105" s="17" t="n">
        <v>635.34</v>
      </c>
      <c r="F105" s="16" t="n">
        <v>2.314697642</v>
      </c>
      <c r="G105" s="17">
        <f>E105*F105</f>
        <v/>
      </c>
      <c r="H105" s="22" t="n"/>
      <c r="I105" s="22" t="n"/>
      <c r="J105" s="17" t="n"/>
      <c r="K105" s="17">
        <f>IF(ISNUMBER(J105),J105*F105,"")</f>
        <v/>
      </c>
      <c r="L105" s="23">
        <f>IF(ISNUMBER(J105),K105-G105,"")</f>
        <v/>
      </c>
      <c r="M105" s="24">
        <f>IF(ISNUMBER(J105),L105/G105,"")</f>
        <v/>
      </c>
      <c r="N105" s="25">
        <f>IF(ISNUMBER(H105),H105-C105,"")</f>
        <v/>
      </c>
      <c r="O105" s="6" t="n"/>
      <c r="P105" s="6" t="inlineStr">
        <is>
          <t>Open</t>
        </is>
      </c>
    </row>
    <row r="106">
      <c r="A106" s="6" t="inlineStr">
        <is>
          <t>ULTA</t>
        </is>
      </c>
      <c r="B106" s="6" t="inlineStr">
        <is>
          <t>Ulta Beauty, Inc. Common Stock</t>
        </is>
      </c>
      <c r="C106" s="22" t="n">
        <v>46325.64648148148</v>
      </c>
      <c r="D106" s="22" t="n">
        <v>46325.43814814815</v>
      </c>
      <c r="E106" s="17" t="n">
        <v>639.1900000000001</v>
      </c>
      <c r="F106" s="16" t="n">
        <v>2.62602669</v>
      </c>
      <c r="G106" s="17">
        <f>E106*F106</f>
        <v/>
      </c>
      <c r="H106" s="22" t="n"/>
      <c r="I106" s="22" t="n"/>
      <c r="J106" s="17" t="n"/>
      <c r="K106" s="17">
        <f>IF(ISNUMBER(J106),J106*F106,"")</f>
        <v/>
      </c>
      <c r="L106" s="23">
        <f>IF(ISNUMBER(J106),K106-G106,"")</f>
        <v/>
      </c>
      <c r="M106" s="24">
        <f>IF(ISNUMBER(J106),L106/G106,"")</f>
        <v/>
      </c>
      <c r="N106" s="25">
        <f>IF(ISNUMBER(H106),H106-C106,"")</f>
        <v/>
      </c>
      <c r="O106" s="6" t="n"/>
      <c r="P106" s="6" t="inlineStr">
        <is>
          <t>Open</t>
        </is>
      </c>
    </row>
    <row r="107">
      <c r="A107" s="6" t="inlineStr">
        <is>
          <t>XOM</t>
        </is>
      </c>
      <c r="B107" s="6" t="inlineStr">
        <is>
          <t>ExxonMobil Holdings Corporation</t>
        </is>
      </c>
      <c r="C107" s="22" t="n">
        <v>46325.6675</v>
      </c>
      <c r="D107" s="22" t="n">
        <v>46325.45916666667</v>
      </c>
      <c r="E107" s="17" t="n">
        <v>184.89</v>
      </c>
      <c r="F107" s="16" t="n">
        <v>8.322299745</v>
      </c>
      <c r="G107" s="17">
        <f>E107*F107</f>
        <v/>
      </c>
      <c r="H107" s="22" t="n"/>
      <c r="I107" s="22" t="n"/>
      <c r="J107" s="17" t="n"/>
      <c r="K107" s="17">
        <f>IF(ISNUMBER(J107),J107*F107,"")</f>
        <v/>
      </c>
      <c r="L107" s="23">
        <f>IF(ISNUMBER(J107),K107-G107,"")</f>
        <v/>
      </c>
      <c r="M107" s="24">
        <f>IF(ISNUMBER(J107),L107/G107,"")</f>
        <v/>
      </c>
      <c r="N107" s="25">
        <f>IF(ISNUMBER(H107),H107-C107,"")</f>
        <v/>
      </c>
      <c r="O107" s="6" t="n"/>
      <c r="P107" s="6" t="inlineStr">
        <is>
          <t>Open</t>
        </is>
      </c>
    </row>
  </sheetData>
  <conditionalFormatting sqref="L2:M10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2026-10-30T18:52:50Z</dcterms:created>
  <dcterms:modified xsi:type="dcterms:W3CDTF">2026-10-30T18:52:50Z</dcterms:modified>
</cp:coreProperties>
</file>