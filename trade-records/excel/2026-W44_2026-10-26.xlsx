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181" headerRowCount="1">
  <autoFilter ref="A1:BA181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107" headerRowCount="1">
  <autoFilter ref="A1:P107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46325.78987268519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46325.58153935185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COUNTIF(Orders!$E$2:$E$181,"BUY")+COUNTIF(Orders!$E$2:$E$181,"SELL")</f>
        <v/>
      </c>
    </row>
    <row r="9">
      <c r="A9" s="6" t="inlineStr">
        <is>
          <t>Buy orders</t>
        </is>
      </c>
      <c r="B9" s="7">
        <f>COUNTIF(Orders!$E$2:$E$181,"BUY")</f>
        <v/>
      </c>
    </row>
    <row r="10">
      <c r="A10" s="6" t="inlineStr">
        <is>
          <t>Sell orders</t>
        </is>
      </c>
      <c r="B10" s="7">
        <f>COUNTIF(Orders!$E$2:$E$181,"SELL")</f>
        <v/>
      </c>
    </row>
    <row r="11">
      <c r="A11" s="6" t="inlineStr">
        <is>
          <t>Filled orders</t>
        </is>
      </c>
      <c r="B11" s="7">
        <f>COUNTIF(Orders!$I$2:$I$181,"filled")</f>
        <v/>
      </c>
    </row>
    <row r="12">
      <c r="A12" s="6" t="inlineStr">
        <is>
          <t>Total bought $</t>
        </is>
      </c>
      <c r="B12" s="8">
        <f>SUMIFS(Orders!$L$2:$L$181,Orders!$E$2:$E$181,"BUY")</f>
        <v/>
      </c>
    </row>
    <row r="13">
      <c r="A13" s="6" t="inlineStr">
        <is>
          <t>Total sold $</t>
        </is>
      </c>
      <c r="B13" s="8">
        <f>SUMIFS(Orders!$L$2:$L$181,Orders!$E$2:$E$181,"SELL")</f>
        <v/>
      </c>
    </row>
    <row r="14">
      <c r="A14" s="6" t="inlineStr">
        <is>
          <t>Closed round trips</t>
        </is>
      </c>
      <c r="B14" s="7">
        <f>COUNTIF('Round trips'!$P$2:$P$107,"Closed")</f>
        <v/>
      </c>
    </row>
    <row r="15">
      <c r="A15" s="6" t="inlineStr">
        <is>
          <t>Open lots</t>
        </is>
      </c>
      <c r="B15" s="7">
        <f>COUNTIF('Round trips'!$P$2:$P$107,"Open")</f>
        <v/>
      </c>
    </row>
    <row r="16">
      <c r="A16" s="6" t="inlineStr">
        <is>
          <t>Realized P/L $</t>
        </is>
      </c>
      <c r="B16" s="9">
        <f>SUM('Round trips'!$L$2:$L$107)</f>
        <v/>
      </c>
    </row>
    <row r="17">
      <c r="A17" s="6" t="inlineStr">
        <is>
          <t>Winning round trips</t>
        </is>
      </c>
      <c r="B17" s="7">
        <f>COUNTIFS('Round trips'!$P$2:$P$107,"Closed",'Round trips'!$L$2:$L$107,"&gt;0")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181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  <row r="76">
      <c r="A76" s="12" t="n">
        <v>75</v>
      </c>
      <c r="B76" s="13" t="n">
        <v>46324.6062962963</v>
      </c>
      <c r="C76" s="13" t="n">
        <v>46324.39796296296</v>
      </c>
      <c r="D76" s="13" t="n">
        <v>46324.56462962963</v>
      </c>
      <c r="E76" s="14" t="inlineStr">
        <is>
          <t>BUY</t>
        </is>
      </c>
      <c r="F76" s="6" t="inlineStr">
        <is>
          <t>ADI</t>
        </is>
      </c>
      <c r="G76" s="15" t="inlineStr">
        <is>
          <t>Analog Devices, Inc. Common Stock</t>
        </is>
      </c>
      <c r="H76" s="6" t="inlineStr">
        <is>
          <t>NASDAQ</t>
        </is>
      </c>
      <c r="I76" s="6" t="inlineStr">
        <is>
          <t>filled</t>
        </is>
      </c>
      <c r="J76" s="16" t="n">
        <v>19.536817436</v>
      </c>
      <c r="K76" s="17" t="n">
        <v>427.19138</v>
      </c>
      <c r="L76" s="17">
        <f>IF(AND(ISNUMBER(J76),ISNUMBER(K76)),J76*K76,"")</f>
        <v/>
      </c>
      <c r="M76" s="17" t="n">
        <v>8345.969999999999</v>
      </c>
      <c r="N76" s="16" t="n"/>
      <c r="O76" s="6" t="inlineStr">
        <is>
          <t>4+/5 green</t>
        </is>
      </c>
      <c r="P76" s="15" t="inlineStr">
        <is>
          <t>5 of 5 green, time machine green, rank #1, 8.33% of the $100,191.79 free cash split 12 ways</t>
        </is>
      </c>
      <c r="Q76" s="12" t="n">
        <v>5</v>
      </c>
      <c r="R76" s="6" t="inlineStr">
        <is>
          <t>ok</t>
        </is>
      </c>
      <c r="S76" s="18" t="n">
        <v>0.707</v>
      </c>
      <c r="T76" s="12" t="n">
        <v>75</v>
      </c>
      <c r="U76" s="19" t="n">
        <v>0.0147</v>
      </c>
      <c r="V76" s="19" t="n">
        <v>-0.1395</v>
      </c>
      <c r="W76" s="12" t="n">
        <v>1</v>
      </c>
      <c r="X76" s="6" t="inlineStr">
        <is>
          <t>ok</t>
        </is>
      </c>
      <c r="Y76" s="19" t="n">
        <v>0.0003</v>
      </c>
      <c r="Z76" s="6" t="inlineStr">
        <is>
          <t>ok</t>
        </is>
      </c>
      <c r="AA76" s="12" t="n">
        <v>100</v>
      </c>
      <c r="AB76" s="15" t="n"/>
      <c r="AC76" s="6" t="inlineStr">
        <is>
          <t>ok</t>
        </is>
      </c>
      <c r="AD76" s="6" t="inlineStr">
        <is>
          <t>up</t>
        </is>
      </c>
      <c r="AE76" s="17" t="n">
        <v>435.9943</v>
      </c>
      <c r="AF76" s="17" t="n">
        <v>416.9835</v>
      </c>
      <c r="AG76" s="17" t="n">
        <v>455.0052</v>
      </c>
      <c r="AH76" s="20" t="n">
        <v>46331</v>
      </c>
      <c r="AI76" s="18" t="n">
        <v>0.53</v>
      </c>
      <c r="AJ76" s="6" t="inlineStr">
        <is>
          <t>ok</t>
        </is>
      </c>
      <c r="AK76" s="12" t="n">
        <v>1</v>
      </c>
      <c r="AL76" s="15" t="inlineStr">
        <is>
          <t>Analog Devices Adopts ChipAgents AI Platform for Semiconductor Design</t>
        </is>
      </c>
      <c r="AM76" s="17" t="n">
        <v>428.5</v>
      </c>
      <c r="AN76" s="19" t="n">
        <v>0.0074</v>
      </c>
      <c r="AO76" s="17" t="n">
        <v>100191.79</v>
      </c>
      <c r="AP76" s="17" t="n">
        <v>100191.79</v>
      </c>
      <c r="AQ76" s="19" t="n">
        <v>0.0833</v>
      </c>
      <c r="AR76" s="16" t="n"/>
      <c r="AS76" s="17" t="n"/>
      <c r="AT76" s="19" t="n"/>
      <c r="AU76" s="6" t="inlineStr">
        <is>
          <t>paper</t>
        </is>
      </c>
      <c r="AV76" s="6" t="inlineStr">
        <is>
          <t>945e18ba-dacb-4f18-8f6d-b6d52b27a5b1</t>
        </is>
      </c>
      <c r="AW76" s="6" t="inlineStr">
        <is>
          <t>tdagent-buy-ADI-1793280647910</t>
        </is>
      </c>
      <c r="AX76" s="13" t="n">
        <v>46324.56304398148</v>
      </c>
      <c r="AY76" s="13" t="n">
        <v>46324.56462962963</v>
      </c>
      <c r="AZ76" s="13" t="n">
        <v>46324.56267361111</v>
      </c>
      <c r="BA76" s="6" t="n"/>
    </row>
    <row r="77">
      <c r="A77" s="12" t="n">
        <v>76</v>
      </c>
      <c r="B77" s="13" t="n">
        <v>46324.60716435185</v>
      </c>
      <c r="C77" s="13" t="n">
        <v>46324.39883101852</v>
      </c>
      <c r="D77" s="13" t="n">
        <v>46324.56549768519</v>
      </c>
      <c r="E77" s="14" t="inlineStr">
        <is>
          <t>BUY</t>
        </is>
      </c>
      <c r="F77" s="6" t="inlineStr">
        <is>
          <t>NTRA</t>
        </is>
      </c>
      <c r="G77" s="15" t="inlineStr">
        <is>
          <t>Natera, Inc. Common Stock</t>
        </is>
      </c>
      <c r="H77" s="6" t="inlineStr">
        <is>
          <t>NASDAQ</t>
        </is>
      </c>
      <c r="I77" s="6" t="inlineStr">
        <is>
          <t>filled</t>
        </is>
      </c>
      <c r="J77" s="16" t="n">
        <v>19.644723215</v>
      </c>
      <c r="K77" s="17" t="n">
        <v>424.844876</v>
      </c>
      <c r="L77" s="17">
        <f>IF(AND(ISNUMBER(J77),ISNUMBER(K77)),J77*K77,"")</f>
        <v/>
      </c>
      <c r="M77" s="17" t="n">
        <v>8345.969999999999</v>
      </c>
      <c r="N77" s="16" t="n"/>
      <c r="O77" s="6" t="inlineStr">
        <is>
          <t>4+/5 green</t>
        </is>
      </c>
      <c r="P77" s="15" t="inlineStr">
        <is>
          <t>5 of 5 green, time machine green, rank #2, 8.33% of the $100,191.79 free cash split 12 ways</t>
        </is>
      </c>
      <c r="Q77" s="12" t="n">
        <v>5</v>
      </c>
      <c r="R77" s="6" t="inlineStr">
        <is>
          <t>ok</t>
        </is>
      </c>
      <c r="S77" s="18" t="n">
        <v>0.697</v>
      </c>
      <c r="T77" s="12" t="n">
        <v>66</v>
      </c>
      <c r="U77" s="19" t="n">
        <v>0.0283</v>
      </c>
      <c r="V77" s="19" t="n">
        <v>-0.1395</v>
      </c>
      <c r="W77" s="12" t="n">
        <v>2</v>
      </c>
      <c r="X77" s="6" t="inlineStr">
        <is>
          <t>ok</t>
        </is>
      </c>
      <c r="Y77" s="19" t="n">
        <v>0.0046</v>
      </c>
      <c r="Z77" s="6" t="inlineStr">
        <is>
          <t>ok</t>
        </is>
      </c>
      <c r="AA77" s="12" t="n">
        <v>100</v>
      </c>
      <c r="AB77" s="15" t="n"/>
      <c r="AC77" s="6" t="inlineStr">
        <is>
          <t>ok</t>
        </is>
      </c>
      <c r="AD77" s="6" t="inlineStr">
        <is>
          <t>up</t>
        </is>
      </c>
      <c r="AE77" s="17" t="n">
        <v>437.523</v>
      </c>
      <c r="AF77" s="17" t="n">
        <v>404.5655</v>
      </c>
      <c r="AG77" s="17" t="n">
        <v>470.4804</v>
      </c>
      <c r="AH77" s="20" t="n">
        <v>46331</v>
      </c>
      <c r="AI77" s="18" t="n">
        <v>0.53</v>
      </c>
      <c r="AJ77" s="6" t="inlineStr">
        <is>
          <t>ok</t>
        </is>
      </c>
      <c r="AK77" s="12" t="n">
        <v>4</v>
      </c>
      <c r="AL77" s="15" t="inlineStr">
        <is>
          <t>BTIG Maintains Buy on Natera, Raises Price Target to $430</t>
        </is>
      </c>
      <c r="AM77" s="17" t="n">
        <v>422.38</v>
      </c>
      <c r="AN77" s="19" t="n">
        <v>0.0329</v>
      </c>
      <c r="AO77" s="17" t="n">
        <v>100191.79</v>
      </c>
      <c r="AP77" s="17" t="n">
        <v>100191.79</v>
      </c>
      <c r="AQ77" s="19" t="n">
        <v>0.0833</v>
      </c>
      <c r="AR77" s="16" t="n"/>
      <c r="AS77" s="17" t="n"/>
      <c r="AT77" s="19" t="n"/>
      <c r="AU77" s="6" t="inlineStr">
        <is>
          <t>paper</t>
        </is>
      </c>
      <c r="AV77" s="6" t="inlineStr">
        <is>
          <t>f905344b-0702-4074-925b-69965f045190</t>
        </is>
      </c>
      <c r="AW77" s="6" t="inlineStr">
        <is>
          <t>tdagent-buy-NTRA-1793280647961</t>
        </is>
      </c>
      <c r="AX77" s="13" t="n">
        <v>46324.56304398148</v>
      </c>
      <c r="AY77" s="13" t="n">
        <v>46324.56549768519</v>
      </c>
      <c r="AZ77" s="13" t="n">
        <v>46324.56267361111</v>
      </c>
      <c r="BA77" s="6" t="n"/>
    </row>
    <row r="78">
      <c r="A78" s="12" t="n">
        <v>77</v>
      </c>
      <c r="B78" s="13" t="n">
        <v>46324.60688657407</v>
      </c>
      <c r="C78" s="13" t="n">
        <v>46324.39855324074</v>
      </c>
      <c r="D78" s="13" t="n">
        <v>46324.56521990741</v>
      </c>
      <c r="E78" s="14" t="inlineStr">
        <is>
          <t>BUY</t>
        </is>
      </c>
      <c r="F78" s="6" t="inlineStr">
        <is>
          <t>TMO</t>
        </is>
      </c>
      <c r="G78" s="15" t="inlineStr">
        <is>
          <t>Thermo Fisher Scientific, Inc.</t>
        </is>
      </c>
      <c r="H78" s="6" t="inlineStr">
        <is>
          <t>NYSE</t>
        </is>
      </c>
      <c r="I78" s="6" t="inlineStr">
        <is>
          <t>filled</t>
        </is>
      </c>
      <c r="J78" s="16" t="n">
        <v>11.851651941</v>
      </c>
      <c r="K78" s="17" t="n">
        <v>704.202253</v>
      </c>
      <c r="L78" s="17">
        <f>IF(AND(ISNUMBER(J78),ISNUMBER(K78)),J78*K78,"")</f>
        <v/>
      </c>
      <c r="M78" s="17" t="n">
        <v>8345.969999999999</v>
      </c>
      <c r="N78" s="16" t="n"/>
      <c r="O78" s="6" t="inlineStr">
        <is>
          <t>4+/5 green</t>
        </is>
      </c>
      <c r="P78" s="15" t="inlineStr">
        <is>
          <t>5 of 5 green, time machine green, rank #3, 8.33% of the $100,191.79 free cash split 12 ways</t>
        </is>
      </c>
      <c r="Q78" s="12" t="n">
        <v>5</v>
      </c>
      <c r="R78" s="6" t="inlineStr">
        <is>
          <t>ok</t>
        </is>
      </c>
      <c r="S78" s="18" t="n">
        <v>0.667</v>
      </c>
      <c r="T78" s="12" t="n">
        <v>81</v>
      </c>
      <c r="U78" s="19" t="n">
        <v>0.0134</v>
      </c>
      <c r="V78" s="19" t="n">
        <v>-0.1395</v>
      </c>
      <c r="W78" s="12" t="n">
        <v>3</v>
      </c>
      <c r="X78" s="6" t="inlineStr">
        <is>
          <t>ok</t>
        </is>
      </c>
      <c r="Y78" s="19" t="n">
        <v>0.0034</v>
      </c>
      <c r="Z78" s="6" t="inlineStr">
        <is>
          <t>ok</t>
        </is>
      </c>
      <c r="AA78" s="12" t="n">
        <v>100</v>
      </c>
      <c r="AB78" s="15" t="n"/>
      <c r="AC78" s="6" t="inlineStr">
        <is>
          <t>ok</t>
        </is>
      </c>
      <c r="AD78" s="6" t="inlineStr">
        <is>
          <t>up</t>
        </is>
      </c>
      <c r="AE78" s="17" t="n">
        <v>714.9629</v>
      </c>
      <c r="AF78" s="17" t="n">
        <v>689.6806</v>
      </c>
      <c r="AG78" s="17" t="n">
        <v>740.2453</v>
      </c>
      <c r="AH78" s="20" t="n">
        <v>46331</v>
      </c>
      <c r="AI78" s="18" t="n">
        <v>0.54</v>
      </c>
      <c r="AJ78" s="6" t="inlineStr">
        <is>
          <t>ok</t>
        </is>
      </c>
      <c r="AK78" s="12" t="n">
        <v>2</v>
      </c>
      <c r="AL78" s="15" t="inlineStr">
        <is>
          <t>Evercore ISI Adjusts Thermo Fisher Scientific Price Target</t>
        </is>
      </c>
      <c r="AM78" s="17" t="n">
        <v>702.4400000000001</v>
      </c>
      <c r="AN78" s="19" t="n">
        <v>0.017</v>
      </c>
      <c r="AO78" s="17" t="n">
        <v>100191.79</v>
      </c>
      <c r="AP78" s="17" t="n">
        <v>100191.79</v>
      </c>
      <c r="AQ78" s="19" t="n">
        <v>0.0833</v>
      </c>
      <c r="AR78" s="16" t="n"/>
      <c r="AS78" s="17" t="n"/>
      <c r="AT78" s="19" t="n"/>
      <c r="AU78" s="6" t="inlineStr">
        <is>
          <t>paper</t>
        </is>
      </c>
      <c r="AV78" s="6" t="inlineStr">
        <is>
          <t>20e9d99f-3228-44b0-99cc-7e07dc593677</t>
        </is>
      </c>
      <c r="AW78" s="6" t="inlineStr">
        <is>
          <t>tdagent-buy-TMO-1793280648003</t>
        </is>
      </c>
      <c r="AX78" s="13" t="n">
        <v>46324.56305555555</v>
      </c>
      <c r="AY78" s="13" t="n">
        <v>46324.56521990741</v>
      </c>
      <c r="AZ78" s="13" t="n">
        <v>46324.56267361111</v>
      </c>
      <c r="BA78" s="6" t="n"/>
    </row>
    <row r="79">
      <c r="A79" s="12" t="n">
        <v>78</v>
      </c>
      <c r="B79" s="13" t="n">
        <v>46324.60554398148</v>
      </c>
      <c r="C79" s="13" t="n">
        <v>46324.39721064815</v>
      </c>
      <c r="D79" s="13" t="n">
        <v>46324.56387731482</v>
      </c>
      <c r="E79" s="14" t="inlineStr">
        <is>
          <t>BUY</t>
        </is>
      </c>
      <c r="F79" s="6" t="inlineStr">
        <is>
          <t>OXY</t>
        </is>
      </c>
      <c r="G79" s="15" t="inlineStr">
        <is>
          <t>Occidental Petroleum Corporation</t>
        </is>
      </c>
      <c r="H79" s="6" t="inlineStr">
        <is>
          <t>NYSE</t>
        </is>
      </c>
      <c r="I79" s="6" t="inlineStr">
        <is>
          <t>filled</t>
        </is>
      </c>
      <c r="J79" s="16" t="n">
        <v>132.370499603</v>
      </c>
      <c r="K79" s="17" t="n">
        <v>63.05</v>
      </c>
      <c r="L79" s="17">
        <f>IF(AND(ISNUMBER(J79),ISNUMBER(K79)),J79*K79,"")</f>
        <v/>
      </c>
      <c r="M79" s="17" t="n">
        <v>8345.969999999999</v>
      </c>
      <c r="N79" s="16" t="n"/>
      <c r="O79" s="6" t="inlineStr">
        <is>
          <t>4+/5 green</t>
        </is>
      </c>
      <c r="P79" s="15" t="inlineStr">
        <is>
          <t>5 of 5 green, time machine green, rank #4, 8.33% of the $100,191.79 free cash split 12 ways</t>
        </is>
      </c>
      <c r="Q79" s="12" t="n">
        <v>5</v>
      </c>
      <c r="R79" s="6" t="inlineStr">
        <is>
          <t>ok</t>
        </is>
      </c>
      <c r="S79" s="18" t="n">
        <v>0.621</v>
      </c>
      <c r="T79" s="12" t="n">
        <v>58</v>
      </c>
      <c r="U79" s="19" t="n">
        <v>0.0105</v>
      </c>
      <c r="V79" s="19" t="n">
        <v>-0.1395</v>
      </c>
      <c r="W79" s="12" t="n">
        <v>4</v>
      </c>
      <c r="X79" s="6" t="inlineStr">
        <is>
          <t>ok</t>
        </is>
      </c>
      <c r="Y79" s="19" t="n">
        <v>0.0063</v>
      </c>
      <c r="Z79" s="6" t="inlineStr">
        <is>
          <t>ok</t>
        </is>
      </c>
      <c r="AA79" s="12" t="n">
        <v>100</v>
      </c>
      <c r="AB79" s="15" t="n"/>
      <c r="AC79" s="6" t="inlineStr">
        <is>
          <t>ok</t>
        </is>
      </c>
      <c r="AD79" s="6" t="inlineStr">
        <is>
          <t>up</t>
        </is>
      </c>
      <c r="AE79" s="17" t="n">
        <v>63.9326</v>
      </c>
      <c r="AF79" s="17" t="n">
        <v>61.2761</v>
      </c>
      <c r="AG79" s="17" t="n">
        <v>66.5891</v>
      </c>
      <c r="AH79" s="20" t="n">
        <v>46331</v>
      </c>
      <c r="AI79" s="18" t="n">
        <v>0.54</v>
      </c>
      <c r="AJ79" s="6" t="inlineStr">
        <is>
          <t>ok</t>
        </is>
      </c>
      <c r="AK79" s="12" t="n">
        <v>0</v>
      </c>
      <c r="AL79" s="15" t="n"/>
      <c r="AM79" s="17" t="n">
        <v>63.27</v>
      </c>
      <c r="AN79" s="19" t="n">
        <v>0.0022</v>
      </c>
      <c r="AO79" s="17" t="n">
        <v>100191.79</v>
      </c>
      <c r="AP79" s="17" t="n">
        <v>100191.79</v>
      </c>
      <c r="AQ79" s="19" t="n">
        <v>0.0833</v>
      </c>
      <c r="AR79" s="16" t="n"/>
      <c r="AS79" s="17" t="n"/>
      <c r="AT79" s="19" t="n"/>
      <c r="AU79" s="6" t="inlineStr">
        <is>
          <t>paper</t>
        </is>
      </c>
      <c r="AV79" s="6" t="inlineStr">
        <is>
          <t>8be935fc-0d73-4a10-9b3e-154f3b63f820</t>
        </is>
      </c>
      <c r="AW79" s="6" t="inlineStr">
        <is>
          <t>tdagent-buy-OXY-1793280648055</t>
        </is>
      </c>
      <c r="AX79" s="13" t="n">
        <v>46324.56305555555</v>
      </c>
      <c r="AY79" s="13" t="n">
        <v>46324.56387731482</v>
      </c>
      <c r="AZ79" s="13" t="n">
        <v>46324.56267361111</v>
      </c>
      <c r="BA79" s="6" t="n"/>
    </row>
    <row r="80">
      <c r="A80" s="12" t="n">
        <v>79</v>
      </c>
      <c r="B80" s="13" t="n">
        <v>46324.60677083334</v>
      </c>
      <c r="C80" s="13" t="n">
        <v>46324.3984375</v>
      </c>
      <c r="D80" s="13" t="n">
        <v>46324.56510416666</v>
      </c>
      <c r="E80" s="14" t="inlineStr">
        <is>
          <t>BUY</t>
        </is>
      </c>
      <c r="F80" s="6" t="inlineStr">
        <is>
          <t>WTW</t>
        </is>
      </c>
      <c r="G80" s="15" t="inlineStr">
        <is>
          <t>Willis Towers Watson Public Limited Company Ordinary Shares</t>
        </is>
      </c>
      <c r="H80" s="6" t="inlineStr">
        <is>
          <t>NASDAQ</t>
        </is>
      </c>
      <c r="I80" s="6" t="inlineStr">
        <is>
          <t>filled</t>
        </is>
      </c>
      <c r="J80" s="16" t="n">
        <v>26.078334421</v>
      </c>
      <c r="K80" s="17" t="n">
        <v>320.034243</v>
      </c>
      <c r="L80" s="17">
        <f>IF(AND(ISNUMBER(J80),ISNUMBER(K80)),J80*K80,"")</f>
        <v/>
      </c>
      <c r="M80" s="17" t="n">
        <v>8345.969999999999</v>
      </c>
      <c r="N80" s="16" t="n"/>
      <c r="O80" s="6" t="inlineStr">
        <is>
          <t>4+/5 green</t>
        </is>
      </c>
      <c r="P80" s="15" t="inlineStr">
        <is>
          <t>5 of 5 green, time machine green, rank #5, 8.33% of the $100,191.79 free cash split 12 ways</t>
        </is>
      </c>
      <c r="Q80" s="12" t="n">
        <v>5</v>
      </c>
      <c r="R80" s="6" t="inlineStr">
        <is>
          <t>ok</t>
        </is>
      </c>
      <c r="S80" s="18" t="n">
        <v>0.621</v>
      </c>
      <c r="T80" s="12" t="n">
        <v>29</v>
      </c>
      <c r="U80" s="19" t="n">
        <v>0.0212</v>
      </c>
      <c r="V80" s="19" t="n">
        <v>-0.1395</v>
      </c>
      <c r="W80" s="12" t="n">
        <v>5</v>
      </c>
      <c r="X80" s="6" t="inlineStr">
        <is>
          <t>ok</t>
        </is>
      </c>
      <c r="Y80" s="19" t="n">
        <v>0</v>
      </c>
      <c r="Z80" s="6" t="inlineStr">
        <is>
          <t>ok</t>
        </is>
      </c>
      <c r="AA80" s="12" t="n">
        <v>100</v>
      </c>
      <c r="AB80" s="15" t="n"/>
      <c r="AC80" s="6" t="inlineStr">
        <is>
          <t>ok</t>
        </is>
      </c>
      <c r="AD80" s="6" t="inlineStr">
        <is>
          <t>up</t>
        </is>
      </c>
      <c r="AE80" s="17" t="n">
        <v>326.195</v>
      </c>
      <c r="AF80" s="17" t="n">
        <v>314.8075</v>
      </c>
      <c r="AG80" s="17" t="n">
        <v>337.5825</v>
      </c>
      <c r="AH80" s="20" t="n">
        <v>46331</v>
      </c>
      <c r="AI80" s="18" t="n">
        <v>0.53</v>
      </c>
      <c r="AJ80" s="6" t="inlineStr">
        <is>
          <t>ok</t>
        </is>
      </c>
      <c r="AK80" s="12" t="n">
        <v>3</v>
      </c>
      <c r="AL80" s="15" t="inlineStr">
        <is>
          <t>Willis Towers Watson Q3 Adj. EPS $3.63 Beats $3.59 Estimate, Sales $2.460B Beat $2.455B Estimate</t>
        </is>
      </c>
      <c r="AM80" s="17" t="n">
        <v>321.64</v>
      </c>
      <c r="AN80" s="19" t="n">
        <v>0.0061</v>
      </c>
      <c r="AO80" s="17" t="n">
        <v>100191.79</v>
      </c>
      <c r="AP80" s="17" t="n">
        <v>100191.79</v>
      </c>
      <c r="AQ80" s="19" t="n">
        <v>0.0833</v>
      </c>
      <c r="AR80" s="16" t="n"/>
      <c r="AS80" s="17" t="n"/>
      <c r="AT80" s="19" t="n"/>
      <c r="AU80" s="6" t="inlineStr">
        <is>
          <t>paper</t>
        </is>
      </c>
      <c r="AV80" s="6" t="inlineStr">
        <is>
          <t>76d68fb4-073e-48a2-a54a-417213babaf1</t>
        </is>
      </c>
      <c r="AW80" s="6" t="inlineStr">
        <is>
          <t>tdagent-buy-WTW-1793280648101</t>
        </is>
      </c>
      <c r="AX80" s="13" t="n">
        <v>46324.56305555555</v>
      </c>
      <c r="AY80" s="13" t="n">
        <v>46324.56510416666</v>
      </c>
      <c r="AZ80" s="13" t="n">
        <v>46324.56267361111</v>
      </c>
      <c r="BA80" s="6" t="n"/>
    </row>
    <row r="81">
      <c r="A81" s="12" t="n">
        <v>80</v>
      </c>
      <c r="B81" s="13" t="n">
        <v>46324.60704861111</v>
      </c>
      <c r="C81" s="13" t="n">
        <v>46324.39871527778</v>
      </c>
      <c r="D81" s="13" t="n">
        <v>46324.56538194444</v>
      </c>
      <c r="E81" s="14" t="inlineStr">
        <is>
          <t>BUY</t>
        </is>
      </c>
      <c r="F81" s="6" t="inlineStr">
        <is>
          <t>MCK</t>
        </is>
      </c>
      <c r="G81" s="15" t="inlineStr">
        <is>
          <t>McKesson Corporation</t>
        </is>
      </c>
      <c r="H81" s="6" t="inlineStr">
        <is>
          <t>NYSE</t>
        </is>
      </c>
      <c r="I81" s="6" t="inlineStr">
        <is>
          <t>filled</t>
        </is>
      </c>
      <c r="J81" s="16" t="n">
        <v>8.556874402</v>
      </c>
      <c r="K81" s="17" t="n">
        <v>975.351467</v>
      </c>
      <c r="L81" s="17">
        <f>IF(AND(ISNUMBER(J81),ISNUMBER(K81)),J81*K81,"")</f>
        <v/>
      </c>
      <c r="M81" s="17" t="n">
        <v>8345.969999999999</v>
      </c>
      <c r="N81" s="16" t="n"/>
      <c r="O81" s="6" t="inlineStr">
        <is>
          <t>4+/5 green</t>
        </is>
      </c>
      <c r="P81" s="15" t="inlineStr">
        <is>
          <t>5 of 5 green, time machine green, rank #6, 8.33% of the $100,191.79 free cash split 12 ways</t>
        </is>
      </c>
      <c r="Q81" s="12" t="n">
        <v>5</v>
      </c>
      <c r="R81" s="6" t="inlineStr">
        <is>
          <t>ok</t>
        </is>
      </c>
      <c r="S81" s="18" t="n">
        <v>0.588</v>
      </c>
      <c r="T81" s="12" t="n">
        <v>68</v>
      </c>
      <c r="U81" s="19" t="n">
        <v>0.0019</v>
      </c>
      <c r="V81" s="19" t="n">
        <v>-0.1395</v>
      </c>
      <c r="W81" s="12" t="n">
        <v>6</v>
      </c>
      <c r="X81" s="6" t="inlineStr">
        <is>
          <t>ok</t>
        </is>
      </c>
      <c r="Y81" s="19" t="n">
        <v>0</v>
      </c>
      <c r="Z81" s="6" t="inlineStr">
        <is>
          <t>ok</t>
        </is>
      </c>
      <c r="AA81" s="12" t="n">
        <v>100</v>
      </c>
      <c r="AB81" s="15" t="n"/>
      <c r="AC81" s="6" t="inlineStr">
        <is>
          <t>ok</t>
        </is>
      </c>
      <c r="AD81" s="6" t="inlineStr">
        <is>
          <t>up</t>
        </is>
      </c>
      <c r="AE81" s="17" t="n">
        <v>976.5787</v>
      </c>
      <c r="AF81" s="17" t="n">
        <v>938.082</v>
      </c>
      <c r="AG81" s="17" t="n">
        <v>1015.0753</v>
      </c>
      <c r="AH81" s="20" t="n">
        <v>46331</v>
      </c>
      <c r="AI81" s="18" t="n">
        <v>0.55</v>
      </c>
      <c r="AJ81" s="6" t="inlineStr">
        <is>
          <t>ok</t>
        </is>
      </c>
      <c r="AK81" s="12" t="n">
        <v>0</v>
      </c>
      <c r="AL81" s="15" t="n"/>
      <c r="AM81" s="17" t="n">
        <v>961.1799999999999</v>
      </c>
      <c r="AN81" s="19" t="n">
        <v>-0.0059</v>
      </c>
      <c r="AO81" s="17" t="n">
        <v>100191.79</v>
      </c>
      <c r="AP81" s="17" t="n">
        <v>100191.79</v>
      </c>
      <c r="AQ81" s="19" t="n">
        <v>0.0833</v>
      </c>
      <c r="AR81" s="16" t="n"/>
      <c r="AS81" s="17" t="n"/>
      <c r="AT81" s="19" t="n"/>
      <c r="AU81" s="6" t="inlineStr">
        <is>
          <t>paper</t>
        </is>
      </c>
      <c r="AV81" s="6" t="inlineStr">
        <is>
          <t>40624c33-d43b-482d-b12f-30fb41c490bd</t>
        </is>
      </c>
      <c r="AW81" s="6" t="inlineStr">
        <is>
          <t>tdagent-buy-MCK-1793280648174</t>
        </is>
      </c>
      <c r="AX81" s="13" t="n">
        <v>46324.56305555555</v>
      </c>
      <c r="AY81" s="13" t="n">
        <v>46324.56538194444</v>
      </c>
      <c r="AZ81" s="13" t="n">
        <v>46324.56267361111</v>
      </c>
      <c r="BA81" s="6" t="n"/>
    </row>
    <row r="82">
      <c r="A82" s="12" t="n">
        <v>81</v>
      </c>
      <c r="B82" s="13" t="n">
        <v>46324.60655092593</v>
      </c>
      <c r="C82" s="13" t="n">
        <v>46324.39821759259</v>
      </c>
      <c r="D82" s="13" t="n">
        <v>46324.56488425926</v>
      </c>
      <c r="E82" s="14" t="inlineStr">
        <is>
          <t>BUY</t>
        </is>
      </c>
      <c r="F82" s="6" t="inlineStr">
        <is>
          <t>ISRG</t>
        </is>
      </c>
      <c r="G82" s="15" t="inlineStr">
        <is>
          <t>Intuitive Surgical, Inc. Common Stock</t>
        </is>
      </c>
      <c r="H82" s="6" t="inlineStr">
        <is>
          <t>NASDAQ</t>
        </is>
      </c>
      <c r="I82" s="6" t="inlineStr">
        <is>
          <t>filled</t>
        </is>
      </c>
      <c r="J82" s="16" t="n">
        <v>18.645716072</v>
      </c>
      <c r="K82" s="17" t="n">
        <v>447.607374</v>
      </c>
      <c r="L82" s="17">
        <f>IF(AND(ISNUMBER(J82),ISNUMBER(K82)),J82*K82,"")</f>
        <v/>
      </c>
      <c r="M82" s="17" t="n">
        <v>8345.969999999999</v>
      </c>
      <c r="N82" s="16" t="n"/>
      <c r="O82" s="6" t="inlineStr">
        <is>
          <t>4+/5 green</t>
        </is>
      </c>
      <c r="P82" s="15" t="inlineStr">
        <is>
          <t>5 of 5 green, time machine green, rank #9, 8.33% of the $100,191.79 free cash split 12 ways</t>
        </is>
      </c>
      <c r="Q82" s="12" t="n">
        <v>5</v>
      </c>
      <c r="R82" s="6" t="inlineStr">
        <is>
          <t>ok</t>
        </is>
      </c>
      <c r="S82" s="18" t="n">
        <v>0.552</v>
      </c>
      <c r="T82" s="12" t="n">
        <v>29</v>
      </c>
      <c r="U82" s="19" t="n">
        <v>0.0068</v>
      </c>
      <c r="V82" s="19" t="n">
        <v>-0.1395</v>
      </c>
      <c r="W82" s="12" t="n">
        <v>9</v>
      </c>
      <c r="X82" s="6" t="inlineStr">
        <is>
          <t>ok</t>
        </is>
      </c>
      <c r="Y82" s="19" t="n">
        <v>0</v>
      </c>
      <c r="Z82" s="6" t="inlineStr">
        <is>
          <t>ok</t>
        </is>
      </c>
      <c r="AA82" s="12" t="n">
        <v>100</v>
      </c>
      <c r="AB82" s="15" t="n"/>
      <c r="AC82" s="6" t="inlineStr">
        <is>
          <t>ok</t>
        </is>
      </c>
      <c r="AD82" s="6" t="inlineStr">
        <is>
          <t>up</t>
        </is>
      </c>
      <c r="AE82" s="17" t="n">
        <v>451.3904</v>
      </c>
      <c r="AF82" s="17" t="n">
        <v>433.3894</v>
      </c>
      <c r="AG82" s="17" t="n">
        <v>469.3914</v>
      </c>
      <c r="AH82" s="20" t="n">
        <v>46331</v>
      </c>
      <c r="AI82" s="18" t="n">
        <v>0.5600000000000001</v>
      </c>
      <c r="AJ82" s="6" t="inlineStr">
        <is>
          <t>ok</t>
        </is>
      </c>
      <c r="AK82" s="12" t="n">
        <v>4</v>
      </c>
      <c r="AL82" s="15" t="inlineStr">
        <is>
          <t>Evercore ISI Adjusts Intuitive Surgical Price Target to $375 From $385</t>
        </is>
      </c>
      <c r="AM82" s="17" t="n">
        <v>444.19</v>
      </c>
      <c r="AN82" s="19" t="n">
        <v>-0.0039</v>
      </c>
      <c r="AO82" s="17" t="n">
        <v>100191.79</v>
      </c>
      <c r="AP82" s="17" t="n">
        <v>100191.79</v>
      </c>
      <c r="AQ82" s="19" t="n">
        <v>0.0833</v>
      </c>
      <c r="AR82" s="16" t="n"/>
      <c r="AS82" s="17" t="n"/>
      <c r="AT82" s="19" t="n"/>
      <c r="AU82" s="6" t="inlineStr">
        <is>
          <t>paper</t>
        </is>
      </c>
      <c r="AV82" s="6" t="inlineStr">
        <is>
          <t>d6ce49ed-c1b3-489d-93c3-851dba2e9981</t>
        </is>
      </c>
      <c r="AW82" s="6" t="inlineStr">
        <is>
          <t>tdagent-buy-ISRG-1793280648289</t>
        </is>
      </c>
      <c r="AX82" s="13" t="n">
        <v>46324.56305555555</v>
      </c>
      <c r="AY82" s="13" t="n">
        <v>46324.56488425926</v>
      </c>
      <c r="AZ82" s="13" t="n">
        <v>46324.56267361111</v>
      </c>
      <c r="BA82" s="6" t="n"/>
    </row>
    <row r="83">
      <c r="A83" s="12" t="n">
        <v>82</v>
      </c>
      <c r="B83" s="13" t="n">
        <v>46324.60613425926</v>
      </c>
      <c r="C83" s="13" t="n">
        <v>46324.39780092592</v>
      </c>
      <c r="D83" s="13" t="n">
        <v>46324.56446759259</v>
      </c>
      <c r="E83" s="14" t="inlineStr">
        <is>
          <t>BUY</t>
        </is>
      </c>
      <c r="F83" s="6" t="inlineStr">
        <is>
          <t>ADP</t>
        </is>
      </c>
      <c r="G83" s="15" t="inlineStr">
        <is>
          <t>Automatic Data Processing, Inc. Common Stock</t>
        </is>
      </c>
      <c r="H83" s="6" t="inlineStr">
        <is>
          <t>NASDAQ</t>
        </is>
      </c>
      <c r="I83" s="6" t="inlineStr">
        <is>
          <t>filled</t>
        </is>
      </c>
      <c r="J83" s="16" t="n">
        <v>28.879753624</v>
      </c>
      <c r="K83" s="17" t="n">
        <v>288.99</v>
      </c>
      <c r="L83" s="17">
        <f>IF(AND(ISNUMBER(J83),ISNUMBER(K83)),J83*K83,"")</f>
        <v/>
      </c>
      <c r="M83" s="17" t="n">
        <v>8345.969999999999</v>
      </c>
      <c r="N83" s="16" t="n"/>
      <c r="O83" s="6" t="inlineStr">
        <is>
          <t>4+/5 green</t>
        </is>
      </c>
      <c r="P83" s="15" t="inlineStr">
        <is>
          <t>4 of 5 green, time machine green, rank #10, 8.33% of the $100,191.79 free cash split 12 ways</t>
        </is>
      </c>
      <c r="Q83" s="12" t="n">
        <v>4</v>
      </c>
      <c r="R83" s="6" t="inlineStr">
        <is>
          <t>ok</t>
        </is>
      </c>
      <c r="S83" s="18" t="n">
        <v>0.648</v>
      </c>
      <c r="T83" s="12" t="n">
        <v>54</v>
      </c>
      <c r="U83" s="19" t="n">
        <v>0.0132</v>
      </c>
      <c r="V83" s="19" t="n">
        <v>-0.1395</v>
      </c>
      <c r="W83" s="12" t="n">
        <v>10</v>
      </c>
      <c r="X83" s="6" t="inlineStr">
        <is>
          <t>ok</t>
        </is>
      </c>
      <c r="Y83" s="19" t="n">
        <v>0.0064</v>
      </c>
      <c r="Z83" s="6" t="inlineStr">
        <is>
          <t>ok</t>
        </is>
      </c>
      <c r="AA83" s="12" t="n">
        <v>100</v>
      </c>
      <c r="AB83" s="15" t="n"/>
      <c r="AC83" s="6" t="inlineStr">
        <is>
          <t>ok</t>
        </is>
      </c>
      <c r="AD83" s="6" t="inlineStr">
        <is>
          <t>up</t>
        </is>
      </c>
      <c r="AE83" s="17" t="n">
        <v>289.3086</v>
      </c>
      <c r="AF83" s="17" t="n">
        <v>279.4621</v>
      </c>
      <c r="AG83" s="17" t="n">
        <v>299.1552</v>
      </c>
      <c r="AH83" s="20" t="n">
        <v>46331</v>
      </c>
      <c r="AI83" s="18" t="n">
        <v>0.5600000000000001</v>
      </c>
      <c r="AJ83" s="6" t="inlineStr">
        <is>
          <t>watch</t>
        </is>
      </c>
      <c r="AK83" s="12" t="n">
        <v>10</v>
      </c>
      <c r="AL83" s="15" t="inlineStr">
        <is>
          <t>Automatic Data Processing Q1 2027 Earnings Call Transcript</t>
        </is>
      </c>
      <c r="AM83" s="17" t="n">
        <v>287.21</v>
      </c>
      <c r="AN83" s="19" t="n">
        <v>-0.0258</v>
      </c>
      <c r="AO83" s="17" t="n">
        <v>100191.79</v>
      </c>
      <c r="AP83" s="17" t="n">
        <v>100191.79</v>
      </c>
      <c r="AQ83" s="19" t="n">
        <v>0.0833</v>
      </c>
      <c r="AR83" s="16" t="n"/>
      <c r="AS83" s="17" t="n"/>
      <c r="AT83" s="19" t="n"/>
      <c r="AU83" s="6" t="inlineStr">
        <is>
          <t>paper</t>
        </is>
      </c>
      <c r="AV83" s="6" t="inlineStr">
        <is>
          <t>8a1d5db1-bd96-4ec4-8cf7-90f3d674ae95</t>
        </is>
      </c>
      <c r="AW83" s="6" t="inlineStr">
        <is>
          <t>tdagent-buy-ADP-1793280648342</t>
        </is>
      </c>
      <c r="AX83" s="13" t="n">
        <v>46324.56305555555</v>
      </c>
      <c r="AY83" s="13" t="n">
        <v>46324.56446759259</v>
      </c>
      <c r="AZ83" s="13" t="n">
        <v>46324.56267361111</v>
      </c>
      <c r="BA83" s="6" t="n"/>
    </row>
    <row r="84">
      <c r="A84" s="12" t="n">
        <v>83</v>
      </c>
      <c r="B84" s="13" t="n">
        <v>46324.60626157407</v>
      </c>
      <c r="C84" s="13" t="n">
        <v>46324.39792824074</v>
      </c>
      <c r="D84" s="13" t="n">
        <v>46324.56459490741</v>
      </c>
      <c r="E84" s="14" t="inlineStr">
        <is>
          <t>BUY</t>
        </is>
      </c>
      <c r="F84" s="6" t="inlineStr">
        <is>
          <t>IQV</t>
        </is>
      </c>
      <c r="G84" s="15" t="inlineStr">
        <is>
          <t>IQVIA Holdings Inc.</t>
        </is>
      </c>
      <c r="H84" s="6" t="inlineStr">
        <is>
          <t>NYSE</t>
        </is>
      </c>
      <c r="I84" s="6" t="inlineStr">
        <is>
          <t>filled</t>
        </is>
      </c>
      <c r="J84" s="16" t="n">
        <v>30.075531531</v>
      </c>
      <c r="K84" s="17" t="n">
        <v>277.5</v>
      </c>
      <c r="L84" s="17">
        <f>IF(AND(ISNUMBER(J84),ISNUMBER(K84)),J84*K84,"")</f>
        <v/>
      </c>
      <c r="M84" s="17" t="n">
        <v>8345.969999999999</v>
      </c>
      <c r="N84" s="16" t="n"/>
      <c r="O84" s="6" t="inlineStr">
        <is>
          <t>4+/5 green</t>
        </is>
      </c>
      <c r="P84" s="15" t="inlineStr">
        <is>
          <t>4 of 5 green, time machine green, rank #11, 8.33% of the $100,191.79 free cash split 12 ways</t>
        </is>
      </c>
      <c r="Q84" s="12" t="n">
        <v>4</v>
      </c>
      <c r="R84" s="6" t="inlineStr">
        <is>
          <t>ok</t>
        </is>
      </c>
      <c r="S84" s="18" t="n">
        <v>0.608</v>
      </c>
      <c r="T84" s="12" t="n">
        <v>74</v>
      </c>
      <c r="U84" s="19" t="n">
        <v>0.0149</v>
      </c>
      <c r="V84" s="19" t="n">
        <v>-0.1395</v>
      </c>
      <c r="W84" s="12" t="n">
        <v>11</v>
      </c>
      <c r="X84" s="6" t="inlineStr">
        <is>
          <t>ok</t>
        </is>
      </c>
      <c r="Y84" s="19" t="n">
        <v>0.0008</v>
      </c>
      <c r="Z84" s="6" t="inlineStr">
        <is>
          <t>ok</t>
        </is>
      </c>
      <c r="AA84" s="12" t="n">
        <v>100</v>
      </c>
      <c r="AB84" s="15" t="n"/>
      <c r="AC84" s="6" t="inlineStr">
        <is>
          <t>ok</t>
        </is>
      </c>
      <c r="AD84" s="6" t="inlineStr">
        <is>
          <t>up</t>
        </is>
      </c>
      <c r="AE84" s="17" t="n">
        <v>283.0364</v>
      </c>
      <c r="AF84" s="17" t="n">
        <v>272.7205</v>
      </c>
      <c r="AG84" s="17" t="n">
        <v>293.3523</v>
      </c>
      <c r="AH84" s="20" t="n">
        <v>46331</v>
      </c>
      <c r="AI84" s="18" t="n">
        <v>0.53</v>
      </c>
      <c r="AJ84" s="6" t="inlineStr">
        <is>
          <t>watch</t>
        </is>
      </c>
      <c r="AK84" s="12" t="n">
        <v>6</v>
      </c>
      <c r="AL84" s="15" t="inlineStr">
        <is>
          <t>JP Morgan Maintains Overweight on IQVIA Holdings, Raises Price Target to $325</t>
        </is>
      </c>
      <c r="AM84" s="17" t="n">
        <v>278.7</v>
      </c>
      <c r="AN84" s="19" t="n">
        <v>0.0275</v>
      </c>
      <c r="AO84" s="17" t="n">
        <v>100191.79</v>
      </c>
      <c r="AP84" s="17" t="n">
        <v>100191.79</v>
      </c>
      <c r="AQ84" s="19" t="n">
        <v>0.0833</v>
      </c>
      <c r="AR84" s="16" t="n"/>
      <c r="AS84" s="17" t="n"/>
      <c r="AT84" s="19" t="n"/>
      <c r="AU84" s="6" t="inlineStr">
        <is>
          <t>paper</t>
        </is>
      </c>
      <c r="AV84" s="6" t="inlineStr">
        <is>
          <t>f2ead90d-b916-49fe-9325-a63c56fae54a</t>
        </is>
      </c>
      <c r="AW84" s="6" t="inlineStr">
        <is>
          <t>tdagent-buy-IQV-1793280648394</t>
        </is>
      </c>
      <c r="AX84" s="13" t="n">
        <v>46324.56305555555</v>
      </c>
      <c r="AY84" s="13" t="n">
        <v>46324.56459490741</v>
      </c>
      <c r="AZ84" s="13" t="n">
        <v>46324.56267361111</v>
      </c>
      <c r="BA84" s="6" t="n"/>
    </row>
    <row r="85">
      <c r="A85" s="12" t="n">
        <v>84</v>
      </c>
      <c r="B85" s="13" t="n">
        <v>46324.60625</v>
      </c>
      <c r="C85" s="13" t="n">
        <v>46324.39791666667</v>
      </c>
      <c r="D85" s="13" t="n">
        <v>46324.56458333333</v>
      </c>
      <c r="E85" s="14" t="inlineStr">
        <is>
          <t>BUY</t>
        </is>
      </c>
      <c r="F85" s="6" t="inlineStr">
        <is>
          <t>LLY</t>
        </is>
      </c>
      <c r="G85" s="15" t="inlineStr">
        <is>
          <t>Eli Lilly &amp; Co.</t>
        </is>
      </c>
      <c r="H85" s="6" t="inlineStr">
        <is>
          <t>NYSE</t>
        </is>
      </c>
      <c r="I85" s="6" t="inlineStr">
        <is>
          <t>filled</t>
        </is>
      </c>
      <c r="J85" s="16" t="n">
        <v>6.035195373</v>
      </c>
      <c r="K85" s="17" t="n">
        <v>1382.881495</v>
      </c>
      <c r="L85" s="17">
        <f>IF(AND(ISNUMBER(J85),ISNUMBER(K85)),J85*K85,"")</f>
        <v/>
      </c>
      <c r="M85" s="17" t="n">
        <v>8345.969999999999</v>
      </c>
      <c r="N85" s="16" t="n"/>
      <c r="O85" s="6" t="inlineStr">
        <is>
          <t>4+/5 green</t>
        </is>
      </c>
      <c r="P85" s="15" t="inlineStr">
        <is>
          <t>4 of 5 green, time machine green, rank #12, 8.33% of the $100,191.79 free cash split 12 ways</t>
        </is>
      </c>
      <c r="Q85" s="12" t="n">
        <v>4</v>
      </c>
      <c r="R85" s="6" t="inlineStr">
        <is>
          <t>ok</t>
        </is>
      </c>
      <c r="S85" s="18" t="n">
        <v>0.574</v>
      </c>
      <c r="T85" s="12" t="n">
        <v>68</v>
      </c>
      <c r="U85" s="19" t="n">
        <v>0.0075</v>
      </c>
      <c r="V85" s="19" t="n">
        <v>-0.1395</v>
      </c>
      <c r="W85" s="12" t="n">
        <v>12</v>
      </c>
      <c r="X85" s="6" t="inlineStr">
        <is>
          <t>ok</t>
        </is>
      </c>
      <c r="Y85" s="19" t="n">
        <v>0</v>
      </c>
      <c r="Z85" s="6" t="inlineStr">
        <is>
          <t>ok</t>
        </is>
      </c>
      <c r="AA85" s="12" t="n">
        <v>100</v>
      </c>
      <c r="AB85" s="15" t="n"/>
      <c r="AC85" s="6" t="inlineStr">
        <is>
          <t>ok</t>
        </is>
      </c>
      <c r="AD85" s="6" t="inlineStr">
        <is>
          <t>up</t>
        </is>
      </c>
      <c r="AE85" s="17" t="n">
        <v>1311.7784</v>
      </c>
      <c r="AF85" s="17" t="n">
        <v>1259.0074</v>
      </c>
      <c r="AG85" s="17" t="n">
        <v>1364.5494</v>
      </c>
      <c r="AH85" s="20" t="n">
        <v>46331</v>
      </c>
      <c r="AI85" s="18" t="n">
        <v>0.55</v>
      </c>
      <c r="AJ85" s="6" t="inlineStr">
        <is>
          <t>watch</t>
        </is>
      </c>
      <c r="AK85" s="12" t="n">
        <v>10</v>
      </c>
      <c r="AL85" s="15" t="inlineStr">
        <is>
          <t>Eli Lilly Lowers FY2026 Adj EPS Guidance from $35.50-$36.50 to $35.00-$36.00 vs $34.04 Est; Raises FY2026 Sales Guidance from $85.000B-$87.000B to $91.000B-$92.000B vs $88.848B Est</t>
        </is>
      </c>
      <c r="AM85" s="17" t="n">
        <v>1290.67</v>
      </c>
      <c r="AN85" s="19" t="n">
        <v>0.0071</v>
      </c>
      <c r="AO85" s="17" t="n">
        <v>100191.79</v>
      </c>
      <c r="AP85" s="17" t="n">
        <v>100191.79</v>
      </c>
      <c r="AQ85" s="19" t="n">
        <v>0.0833</v>
      </c>
      <c r="AR85" s="16" t="n"/>
      <c r="AS85" s="17" t="n"/>
      <c r="AT85" s="19" t="n"/>
      <c r="AU85" s="6" t="inlineStr">
        <is>
          <t>paper</t>
        </is>
      </c>
      <c r="AV85" s="6" t="inlineStr">
        <is>
          <t>c6b04753-7485-469f-8d38-d301e8e7b741</t>
        </is>
      </c>
      <c r="AW85" s="6" t="inlineStr">
        <is>
          <t>tdagent-buy-LLY-1793280648448</t>
        </is>
      </c>
      <c r="AX85" s="13" t="n">
        <v>46324.56305555555</v>
      </c>
      <c r="AY85" s="13" t="n">
        <v>46324.56458333333</v>
      </c>
      <c r="AZ85" s="13" t="n">
        <v>46324.56267361111</v>
      </c>
      <c r="BA85" s="6" t="n"/>
    </row>
    <row r="86">
      <c r="A86" s="12" t="n">
        <v>85</v>
      </c>
      <c r="B86" s="13" t="n">
        <v>46324.60640046297</v>
      </c>
      <c r="C86" s="13" t="n">
        <v>46324.39806712963</v>
      </c>
      <c r="D86" s="13" t="n">
        <v>46324.56473379629</v>
      </c>
      <c r="E86" s="14" t="inlineStr">
        <is>
          <t>BUY</t>
        </is>
      </c>
      <c r="F86" s="6" t="inlineStr">
        <is>
          <t>MPC</t>
        </is>
      </c>
      <c r="G86" s="15" t="inlineStr">
        <is>
          <t>MARATHON PETROLEUM CORPORATION</t>
        </is>
      </c>
      <c r="H86" s="6" t="inlineStr">
        <is>
          <t>NYSE</t>
        </is>
      </c>
      <c r="I86" s="6" t="inlineStr">
        <is>
          <t>filled</t>
        </is>
      </c>
      <c r="J86" s="16" t="n">
        <v>18.846467973</v>
      </c>
      <c r="K86" s="17" t="n">
        <v>442.839476</v>
      </c>
      <c r="L86" s="17">
        <f>IF(AND(ISNUMBER(J86),ISNUMBER(K86)),J86*K86,"")</f>
        <v/>
      </c>
      <c r="M86" s="17" t="n">
        <v>8345.969999999999</v>
      </c>
      <c r="N86" s="16" t="n"/>
      <c r="O86" s="6" t="inlineStr">
        <is>
          <t>4+/5 green</t>
        </is>
      </c>
      <c r="P86" s="15" t="inlineStr">
        <is>
          <t>5 of 5 green, time machine green, rank #13, 8.33% of the $100,191.79 free cash split 12 ways</t>
        </is>
      </c>
      <c r="Q86" s="12" t="n">
        <v>5</v>
      </c>
      <c r="R86" s="6" t="inlineStr">
        <is>
          <t>ok</t>
        </is>
      </c>
      <c r="S86" s="18" t="n">
        <v>0.6820000000000001</v>
      </c>
      <c r="T86" s="12" t="n">
        <v>85</v>
      </c>
      <c r="U86" s="19" t="n">
        <v>0.0254</v>
      </c>
      <c r="V86" s="19" t="n">
        <v>-0.1395</v>
      </c>
      <c r="W86" s="12" t="n">
        <v>13</v>
      </c>
      <c r="X86" s="6" t="inlineStr">
        <is>
          <t>ok</t>
        </is>
      </c>
      <c r="Y86" s="19" t="n">
        <v>0</v>
      </c>
      <c r="Z86" s="6" t="inlineStr">
        <is>
          <t>ok</t>
        </is>
      </c>
      <c r="AA86" s="12" t="n">
        <v>80</v>
      </c>
      <c r="AB86" s="15" t="inlineStr">
        <is>
          <t>One day (-7.4%) did 81% of the 10-day move. The trend rests on a single jump.</t>
        </is>
      </c>
      <c r="AC86" s="6" t="inlineStr">
        <is>
          <t>ok</t>
        </is>
      </c>
      <c r="AD86" s="6" t="inlineStr">
        <is>
          <t>up</t>
        </is>
      </c>
      <c r="AE86" s="17" t="n">
        <v>450.3744</v>
      </c>
      <c r="AF86" s="17" t="n">
        <v>425.9885</v>
      </c>
      <c r="AG86" s="17" t="n">
        <v>474.7603</v>
      </c>
      <c r="AH86" s="20" t="n">
        <v>46331</v>
      </c>
      <c r="AI86" s="18" t="n">
        <v>0.54</v>
      </c>
      <c r="AJ86" s="6" t="inlineStr">
        <is>
          <t>ok</t>
        </is>
      </c>
      <c r="AK86" s="12" t="n">
        <v>4</v>
      </c>
      <c r="AL86" s="15" t="inlineStr">
        <is>
          <t>Reported Earlier, Marathon Petroleum Raises Quarterly Dividend 10% To $1.10 Per Share From $1.00, Payable Dec. 10, 2026, To Shareholders Of Record As Of Nov. 18</t>
        </is>
      </c>
      <c r="AM86" s="17" t="n">
        <v>440.62</v>
      </c>
      <c r="AN86" s="19" t="n">
        <v>0.0108</v>
      </c>
      <c r="AO86" s="17" t="n">
        <v>100191.79</v>
      </c>
      <c r="AP86" s="17" t="n">
        <v>100191.79</v>
      </c>
      <c r="AQ86" s="19" t="n">
        <v>0.0833</v>
      </c>
      <c r="AR86" s="16" t="n"/>
      <c r="AS86" s="17" t="n"/>
      <c r="AT86" s="19" t="n"/>
      <c r="AU86" s="6" t="inlineStr">
        <is>
          <t>paper</t>
        </is>
      </c>
      <c r="AV86" s="6" t="inlineStr">
        <is>
          <t>290918e4-4d4f-4c2f-af48-d921cb97a8b1</t>
        </is>
      </c>
      <c r="AW86" s="6" t="inlineStr">
        <is>
          <t>tdagent-buy-MPC-1793280648508</t>
        </is>
      </c>
      <c r="AX86" s="13" t="n">
        <v>46324.56305555555</v>
      </c>
      <c r="AY86" s="13" t="n">
        <v>46324.56473379629</v>
      </c>
      <c r="AZ86" s="13" t="n">
        <v>46324.56267361111</v>
      </c>
      <c r="BA86" s="6" t="n"/>
    </row>
    <row r="87">
      <c r="A87" s="12" t="n">
        <v>86</v>
      </c>
      <c r="B87" s="13" t="n">
        <v>46324.60722222222</v>
      </c>
      <c r="C87" s="13" t="n">
        <v>46324.39888888889</v>
      </c>
      <c r="D87" s="13" t="n">
        <v>46324.56555555556</v>
      </c>
      <c r="E87" s="14" t="inlineStr">
        <is>
          <t>BUY</t>
        </is>
      </c>
      <c r="F87" s="6" t="inlineStr">
        <is>
          <t>MA</t>
        </is>
      </c>
      <c r="G87" s="15" t="inlineStr">
        <is>
          <t>Mastercard Incorporated</t>
        </is>
      </c>
      <c r="H87" s="6" t="inlineStr">
        <is>
          <t>NYSE</t>
        </is>
      </c>
      <c r="I87" s="6" t="inlineStr">
        <is>
          <t>filled</t>
        </is>
      </c>
      <c r="J87" s="16" t="n">
        <v>13.053417297</v>
      </c>
      <c r="K87" s="17" t="n">
        <v>639.369739</v>
      </c>
      <c r="L87" s="17">
        <f>IF(AND(ISNUMBER(J87),ISNUMBER(K87)),J87*K87,"")</f>
        <v/>
      </c>
      <c r="M87" s="17" t="n">
        <v>8345.969999999999</v>
      </c>
      <c r="N87" s="16" t="n"/>
      <c r="O87" s="6" t="inlineStr">
        <is>
          <t>4+/5 green</t>
        </is>
      </c>
      <c r="P87" s="15" t="inlineStr">
        <is>
          <t>4 of 5 green, time machine green, rank #14, 8.33% of the $100,191.79 free cash split 12 ways</t>
        </is>
      </c>
      <c r="Q87" s="12" t="n">
        <v>4</v>
      </c>
      <c r="R87" s="6" t="inlineStr">
        <is>
          <t>ok</t>
        </is>
      </c>
      <c r="S87" s="18" t="n">
        <v>0.553</v>
      </c>
      <c r="T87" s="12" t="n">
        <v>47</v>
      </c>
      <c r="U87" s="19" t="n">
        <v>0.006500000000000001</v>
      </c>
      <c r="V87" s="19" t="n">
        <v>-0.1395</v>
      </c>
      <c r="W87" s="12" t="n">
        <v>14</v>
      </c>
      <c r="X87" s="6" t="inlineStr">
        <is>
          <t>ok</t>
        </is>
      </c>
      <c r="Y87" s="19" t="n">
        <v>0</v>
      </c>
      <c r="Z87" s="6" t="inlineStr">
        <is>
          <t>ok</t>
        </is>
      </c>
      <c r="AA87" s="12" t="n">
        <v>100</v>
      </c>
      <c r="AB87" s="15" t="n"/>
      <c r="AC87" s="6" t="inlineStr">
        <is>
          <t>ok</t>
        </is>
      </c>
      <c r="AD87" s="6" t="inlineStr">
        <is>
          <t>up</t>
        </is>
      </c>
      <c r="AE87" s="17" t="n">
        <v>617.0697</v>
      </c>
      <c r="AF87" s="17" t="n">
        <v>601.3704</v>
      </c>
      <c r="AG87" s="17" t="n">
        <v>632.769</v>
      </c>
      <c r="AH87" s="20" t="n">
        <v>46331</v>
      </c>
      <c r="AI87" s="18" t="n">
        <v>0.5600000000000001</v>
      </c>
      <c r="AJ87" s="6" t="inlineStr">
        <is>
          <t>watch</t>
        </is>
      </c>
      <c r="AK87" s="12" t="n">
        <v>10</v>
      </c>
      <c r="AL87" s="15" t="inlineStr">
        <is>
          <t>Msatercard CEO Says While There Continues To Be Economic And Geopolitical Uncertainty, Consumers Continue To Spend</t>
        </is>
      </c>
      <c r="AM87" s="17" t="n">
        <v>610.79</v>
      </c>
      <c r="AN87" s="19" t="n">
        <v>0.0015</v>
      </c>
      <c r="AO87" s="17" t="n">
        <v>100191.79</v>
      </c>
      <c r="AP87" s="17" t="n">
        <v>100191.79</v>
      </c>
      <c r="AQ87" s="19" t="n">
        <v>0.0833</v>
      </c>
      <c r="AR87" s="16" t="n"/>
      <c r="AS87" s="17" t="n"/>
      <c r="AT87" s="19" t="n"/>
      <c r="AU87" s="6" t="inlineStr">
        <is>
          <t>paper</t>
        </is>
      </c>
      <c r="AV87" s="6" t="inlineStr">
        <is>
          <t>456ab71a-6843-4001-b9a0-e1c7c379c39f</t>
        </is>
      </c>
      <c r="AW87" s="6" t="inlineStr">
        <is>
          <t>tdagent-buy-MA-1793280648546</t>
        </is>
      </c>
      <c r="AX87" s="13" t="n">
        <v>46324.56305555555</v>
      </c>
      <c r="AY87" s="13" t="n">
        <v>46324.56555555556</v>
      </c>
      <c r="AZ87" s="13" t="n">
        <v>46324.56267361111</v>
      </c>
      <c r="BA87" s="6" t="n"/>
    </row>
    <row r="88">
      <c r="A88" s="12" t="n">
        <v>87</v>
      </c>
      <c r="B88" s="13" t="n">
        <v>46324.6747337963</v>
      </c>
      <c r="C88" s="13" t="n">
        <v>46324.46640046296</v>
      </c>
      <c r="D88" s="13" t="n">
        <v>46324.63306712963</v>
      </c>
      <c r="E88" s="21" t="inlineStr">
        <is>
          <t>SELL</t>
        </is>
      </c>
      <c r="F88" s="6" t="inlineStr">
        <is>
          <t>MPC</t>
        </is>
      </c>
      <c r="G88" s="15" t="inlineStr">
        <is>
          <t>MPC</t>
        </is>
      </c>
      <c r="H88" s="6" t="inlineStr">
        <is>
          <t>NYSE</t>
        </is>
      </c>
      <c r="I88" s="6" t="inlineStr">
        <is>
          <t>filled</t>
        </is>
      </c>
      <c r="J88" s="16" t="n">
        <v>18.846467973</v>
      </c>
      <c r="K88" s="17" t="n">
        <v>421.33</v>
      </c>
      <c r="L88" s="17">
        <f>IF(AND(ISNUMBER(J88),ISNUMBER(K88)),J88*K88,"")</f>
        <v/>
      </c>
      <c r="M88" s="17" t="n"/>
      <c r="N88" s="16" t="n">
        <v>18.846467973</v>
      </c>
      <c r="O88" s="6" t="inlineStr">
        <is>
          <t>bad day</t>
        </is>
      </c>
      <c r="P88" s="15" t="inlineStr">
        <is>
          <t>Bad day: down 4.3% today and only 4 of 5 green</t>
        </is>
      </c>
      <c r="Q88" s="12" t="n">
        <v>4</v>
      </c>
      <c r="R88" s="6" t="inlineStr">
        <is>
          <t>ok</t>
        </is>
      </c>
      <c r="S88" s="18" t="n">
        <v>0.6820000000000001</v>
      </c>
      <c r="T88" s="12" t="n">
        <v>85</v>
      </c>
      <c r="U88" s="19" t="n">
        <v>0.0254</v>
      </c>
      <c r="V88" s="19" t="n">
        <v>-0.1395</v>
      </c>
      <c r="W88" s="12" t="n"/>
      <c r="X88" s="6" t="inlineStr">
        <is>
          <t>watch</t>
        </is>
      </c>
      <c r="Y88" s="19" t="n">
        <v>0.0036</v>
      </c>
      <c r="Z88" s="6" t="inlineStr">
        <is>
          <t>ok</t>
        </is>
      </c>
      <c r="AA88" s="12" t="n">
        <v>100</v>
      </c>
      <c r="AB88" s="15" t="n"/>
      <c r="AC88" s="6" t="inlineStr">
        <is>
          <t>ok</t>
        </is>
      </c>
      <c r="AD88" s="6" t="inlineStr">
        <is>
          <t>up</t>
        </is>
      </c>
      <c r="AE88" s="17" t="n">
        <v>431.5162</v>
      </c>
      <c r="AF88" s="17" t="n">
        <v>408.3508</v>
      </c>
      <c r="AG88" s="17" t="n">
        <v>454.6815</v>
      </c>
      <c r="AH88" s="20" t="n">
        <v>46331</v>
      </c>
      <c r="AI88" s="18" t="n">
        <v>0.53</v>
      </c>
      <c r="AJ88" s="6" t="inlineStr">
        <is>
          <t>ok</t>
        </is>
      </c>
      <c r="AK88" s="12" t="n">
        <v>4</v>
      </c>
      <c r="AL88" s="15" t="inlineStr">
        <is>
          <t>Reported Earlier, Marathon Petroleum Raises Quarterly Dividend 10% To $1.10 Per Share From $1.00, Payable Dec. 10, 2026, To Shareholders Of Record As Of Nov. 18</t>
        </is>
      </c>
      <c r="AM88" s="17" t="n">
        <v>422.25</v>
      </c>
      <c r="AN88" s="19" t="n">
        <v>-0.0417</v>
      </c>
      <c r="AO88" s="17" t="n">
        <v>99315.96000000001</v>
      </c>
      <c r="AP88" s="17" t="n">
        <v>40.27</v>
      </c>
      <c r="AQ88" s="19" t="n">
        <v>0.0833</v>
      </c>
      <c r="AR88" s="16" t="n">
        <v>18.846467973</v>
      </c>
      <c r="AS88" s="17" t="n">
        <v>442.839476</v>
      </c>
      <c r="AT88" s="19" t="n">
        <v>-0.0476</v>
      </c>
      <c r="AU88" s="6" t="inlineStr">
        <is>
          <t>paper</t>
        </is>
      </c>
      <c r="AV88" s="6" t="inlineStr">
        <is>
          <t>ffdb00ef-b2db-4f38-8488-0fe2b35782a8</t>
        </is>
      </c>
      <c r="AW88" s="6" t="inlineStr">
        <is>
          <t>tdagent-sell-MPC-1793286695996</t>
        </is>
      </c>
      <c r="AX88" s="13" t="n">
        <v>46324.63304398148</v>
      </c>
      <c r="AY88" s="13" t="n">
        <v>46324.63306712963</v>
      </c>
      <c r="AZ88" s="13" t="n">
        <v>46324.63278935185</v>
      </c>
      <c r="BA88" s="6" t="n"/>
    </row>
    <row r="89">
      <c r="A89" s="12" t="n">
        <v>88</v>
      </c>
      <c r="B89" s="13" t="n">
        <v>46324.67833333334</v>
      </c>
      <c r="C89" s="13" t="n">
        <v>46324.47</v>
      </c>
      <c r="D89" s="13" t="n">
        <v>46324.63666666667</v>
      </c>
      <c r="E89" s="14" t="inlineStr">
        <is>
          <t>BUY</t>
        </is>
      </c>
      <c r="F89" s="6" t="inlineStr">
        <is>
          <t>VEEV</t>
        </is>
      </c>
      <c r="G89" s="15" t="inlineStr">
        <is>
          <t>Veeva Systems Inc.</t>
        </is>
      </c>
      <c r="H89" s="6" t="inlineStr">
        <is>
          <t>NYSE</t>
        </is>
      </c>
      <c r="I89" s="6" t="inlineStr">
        <is>
          <t>filled</t>
        </is>
      </c>
      <c r="J89" s="16" t="n">
        <v>2.132719514</v>
      </c>
      <c r="K89" s="17" t="n">
        <v>311.71</v>
      </c>
      <c r="L89" s="17">
        <f>IF(AND(ISNUMBER(J89),ISNUMBER(K89)),J89*K89,"")</f>
        <v/>
      </c>
      <c r="M89" s="17" t="n">
        <v>664.8</v>
      </c>
      <c r="N89" s="16" t="n"/>
      <c r="O89" s="6" t="inlineStr">
        <is>
          <t>4+/5 green</t>
        </is>
      </c>
      <c r="P89" s="15" t="inlineStr">
        <is>
          <t>5 of 5 green, time machine green, rank #1, 8.33% of the $7,980.85 free cash split 12 ways</t>
        </is>
      </c>
      <c r="Q89" s="12" t="n">
        <v>5</v>
      </c>
      <c r="R89" s="6" t="inlineStr">
        <is>
          <t>ok</t>
        </is>
      </c>
      <c r="S89" s="18" t="n">
        <v>0.868</v>
      </c>
      <c r="T89" s="12" t="n">
        <v>38</v>
      </c>
      <c r="U89" s="19" t="n">
        <v>0.0567</v>
      </c>
      <c r="V89" s="19" t="n">
        <v>-0.1395</v>
      </c>
      <c r="W89" s="12" t="n">
        <v>1</v>
      </c>
      <c r="X89" s="6" t="inlineStr">
        <is>
          <t>ok</t>
        </is>
      </c>
      <c r="Y89" s="19" t="n">
        <v>0.0016</v>
      </c>
      <c r="Z89" s="6" t="inlineStr">
        <is>
          <t>ok</t>
        </is>
      </c>
      <c r="AA89" s="12" t="n">
        <v>100</v>
      </c>
      <c r="AB89" s="15" t="n"/>
      <c r="AC89" s="6" t="inlineStr">
        <is>
          <t>ok</t>
        </is>
      </c>
      <c r="AD89" s="6" t="inlineStr">
        <is>
          <t>up</t>
        </is>
      </c>
      <c r="AE89" s="17" t="n">
        <v>319.9537</v>
      </c>
      <c r="AF89" s="17" t="n">
        <v>300.332</v>
      </c>
      <c r="AG89" s="17" t="n">
        <v>339.5754</v>
      </c>
      <c r="AH89" s="20" t="n">
        <v>46331</v>
      </c>
      <c r="AI89" s="18" t="n">
        <v>0.55</v>
      </c>
      <c r="AJ89" s="6" t="inlineStr">
        <is>
          <t>ok</t>
        </is>
      </c>
      <c r="AK89" s="12" t="n">
        <v>4</v>
      </c>
      <c r="AL89" s="15" t="inlineStr">
        <is>
          <t>Mizuho Adjusts Price Target on Veeva Systems</t>
        </is>
      </c>
      <c r="AM89" s="17" t="n">
        <v>311.6</v>
      </c>
      <c r="AN89" s="19" t="n">
        <v>-0.0183</v>
      </c>
      <c r="AO89" s="17" t="n">
        <v>99368.08</v>
      </c>
      <c r="AP89" s="17" t="n">
        <v>7980.85</v>
      </c>
      <c r="AQ89" s="19" t="n">
        <v>0.0833</v>
      </c>
      <c r="AR89" s="16" t="n"/>
      <c r="AS89" s="17" t="n"/>
      <c r="AT89" s="19" t="n"/>
      <c r="AU89" s="6" t="inlineStr">
        <is>
          <t>paper</t>
        </is>
      </c>
      <c r="AV89" s="6" t="inlineStr">
        <is>
          <t>432ddb49-7fbc-49b5-9550-5546f03e0680</t>
        </is>
      </c>
      <c r="AW89" s="6" t="inlineStr">
        <is>
          <t>tdagent-buy-VEEV-1793287007828</t>
        </is>
      </c>
      <c r="AX89" s="13" t="n">
        <v>46324.6366550926</v>
      </c>
      <c r="AY89" s="13" t="n">
        <v>46324.63666666667</v>
      </c>
      <c r="AZ89" s="13" t="n">
        <v>46324.63631944444</v>
      </c>
      <c r="BA89" s="6" t="n"/>
    </row>
    <row r="90">
      <c r="A90" s="12" t="n">
        <v>89</v>
      </c>
      <c r="B90" s="13" t="n">
        <v>46324.67834490741</v>
      </c>
      <c r="C90" s="13" t="n">
        <v>46324.47001157407</v>
      </c>
      <c r="D90" s="13" t="n">
        <v>46324.63667824074</v>
      </c>
      <c r="E90" s="14" t="inlineStr">
        <is>
          <t>BUY</t>
        </is>
      </c>
      <c r="F90" s="6" t="inlineStr">
        <is>
          <t>AVTR</t>
        </is>
      </c>
      <c r="G90" s="15" t="inlineStr">
        <is>
          <t>Avantor, Inc.</t>
        </is>
      </c>
      <c r="H90" s="6" t="inlineStr">
        <is>
          <t>NYSE</t>
        </is>
      </c>
      <c r="I90" s="6" t="inlineStr">
        <is>
          <t>filled</t>
        </is>
      </c>
      <c r="J90" s="16" t="n">
        <v>40.314736203</v>
      </c>
      <c r="K90" s="17" t="n">
        <v>16.49</v>
      </c>
      <c r="L90" s="17">
        <f>IF(AND(ISNUMBER(J90),ISNUMBER(K90)),J90*K90,"")</f>
        <v/>
      </c>
      <c r="M90" s="17" t="n">
        <v>664.8</v>
      </c>
      <c r="N90" s="16" t="n"/>
      <c r="O90" s="6" t="inlineStr">
        <is>
          <t>4+/5 green</t>
        </is>
      </c>
      <c r="P90" s="15" t="inlineStr">
        <is>
          <t>5 of 5 green, time machine green, rank #2, 8.33% of the $7,980.85 free cash split 12 ways</t>
        </is>
      </c>
      <c r="Q90" s="12" t="n">
        <v>5</v>
      </c>
      <c r="R90" s="6" t="inlineStr">
        <is>
          <t>ok</t>
        </is>
      </c>
      <c r="S90" s="18" t="n">
        <v>0.823</v>
      </c>
      <c r="T90" s="12" t="n">
        <v>62</v>
      </c>
      <c r="U90" s="19" t="n">
        <v>0.0453</v>
      </c>
      <c r="V90" s="19" t="n">
        <v>-0.1395</v>
      </c>
      <c r="W90" s="12" t="n">
        <v>2</v>
      </c>
      <c r="X90" s="6" t="inlineStr">
        <is>
          <t>ok</t>
        </is>
      </c>
      <c r="Y90" s="19" t="n">
        <v>0.0003</v>
      </c>
      <c r="Z90" s="6" t="inlineStr">
        <is>
          <t>ok</t>
        </is>
      </c>
      <c r="AA90" s="12" t="n">
        <v>100</v>
      </c>
      <c r="AB90" s="15" t="n"/>
      <c r="AC90" s="6" t="inlineStr">
        <is>
          <t>ok</t>
        </is>
      </c>
      <c r="AD90" s="6" t="inlineStr">
        <is>
          <t>up</t>
        </is>
      </c>
      <c r="AE90" s="17" t="n">
        <v>16.739</v>
      </c>
      <c r="AF90" s="17" t="n">
        <v>16.0789</v>
      </c>
      <c r="AG90" s="17" t="n">
        <v>17.3992</v>
      </c>
      <c r="AH90" s="20" t="n">
        <v>46331</v>
      </c>
      <c r="AI90" s="18" t="n">
        <v>0.5600000000000001</v>
      </c>
      <c r="AJ90" s="6" t="inlineStr">
        <is>
          <t>ok</t>
        </is>
      </c>
      <c r="AK90" s="12" t="n">
        <v>5</v>
      </c>
      <c r="AL90" s="15" t="inlineStr">
        <is>
          <t>Barclays Maintains Underweight on Avantor, Raises Price Target to $16</t>
        </is>
      </c>
      <c r="AM90" s="17" t="n">
        <v>16.47</v>
      </c>
      <c r="AN90" s="19" t="n">
        <v>-0.0123</v>
      </c>
      <c r="AO90" s="17" t="n">
        <v>99368.08</v>
      </c>
      <c r="AP90" s="17" t="n">
        <v>7980.85</v>
      </c>
      <c r="AQ90" s="19" t="n">
        <v>0.0833</v>
      </c>
      <c r="AR90" s="16" t="n"/>
      <c r="AS90" s="17" t="n"/>
      <c r="AT90" s="19" t="n"/>
      <c r="AU90" s="6" t="inlineStr">
        <is>
          <t>paper</t>
        </is>
      </c>
      <c r="AV90" s="6" t="inlineStr">
        <is>
          <t>2846835a-3061-47df-84bc-c57549c0d863</t>
        </is>
      </c>
      <c r="AW90" s="6" t="inlineStr">
        <is>
          <t>tdagent-buy-AVTR-1793287008089</t>
        </is>
      </c>
      <c r="AX90" s="13" t="n">
        <v>46324.63666666667</v>
      </c>
      <c r="AY90" s="13" t="n">
        <v>46324.63667824074</v>
      </c>
      <c r="AZ90" s="13" t="n">
        <v>46324.63631944444</v>
      </c>
      <c r="BA90" s="6" t="n"/>
    </row>
    <row r="91">
      <c r="A91" s="12" t="n">
        <v>90</v>
      </c>
      <c r="B91" s="13" t="n">
        <v>46324.67834490741</v>
      </c>
      <c r="C91" s="13" t="n">
        <v>46324.47001157407</v>
      </c>
      <c r="D91" s="13" t="n">
        <v>46324.63667824074</v>
      </c>
      <c r="E91" s="14" t="inlineStr">
        <is>
          <t>BUY</t>
        </is>
      </c>
      <c r="F91" s="6" t="inlineStr">
        <is>
          <t>ABBV</t>
        </is>
      </c>
      <c r="G91" s="15" t="inlineStr">
        <is>
          <t>ABBVIE INC.</t>
        </is>
      </c>
      <c r="H91" s="6" t="inlineStr">
        <is>
          <t>NYSE</t>
        </is>
      </c>
      <c r="I91" s="6" t="inlineStr">
        <is>
          <t>filled</t>
        </is>
      </c>
      <c r="J91" s="16" t="n">
        <v>2.290483737</v>
      </c>
      <c r="K91" s="17" t="n">
        <v>290.24</v>
      </c>
      <c r="L91" s="17">
        <f>IF(AND(ISNUMBER(J91),ISNUMBER(K91)),J91*K91,"")</f>
        <v/>
      </c>
      <c r="M91" s="17" t="n">
        <v>664.8</v>
      </c>
      <c r="N91" s="16" t="n"/>
      <c r="O91" s="6" t="inlineStr">
        <is>
          <t>4+/5 green</t>
        </is>
      </c>
      <c r="P91" s="15" t="inlineStr">
        <is>
          <t>5 of 5 green, time machine green, rank #3, 8.33% of the $7,980.85 free cash split 12 ways</t>
        </is>
      </c>
      <c r="Q91" s="12" t="n">
        <v>5</v>
      </c>
      <c r="R91" s="6" t="inlineStr">
        <is>
          <t>ok</t>
        </is>
      </c>
      <c r="S91" s="18" t="n">
        <v>0.667</v>
      </c>
      <c r="T91" s="12" t="n">
        <v>39</v>
      </c>
      <c r="U91" s="19" t="n">
        <v>0.0177</v>
      </c>
      <c r="V91" s="19" t="n">
        <v>-0.1395</v>
      </c>
      <c r="W91" s="12" t="n">
        <v>3</v>
      </c>
      <c r="X91" s="6" t="inlineStr">
        <is>
          <t>ok</t>
        </is>
      </c>
      <c r="Y91" s="19" t="n">
        <v>0.0001</v>
      </c>
      <c r="Z91" s="6" t="inlineStr">
        <is>
          <t>ok</t>
        </is>
      </c>
      <c r="AA91" s="12" t="n">
        <v>100</v>
      </c>
      <c r="AB91" s="15" t="n"/>
      <c r="AC91" s="6" t="inlineStr">
        <is>
          <t>ok</t>
        </is>
      </c>
      <c r="AD91" s="6" t="inlineStr">
        <is>
          <t>up</t>
        </is>
      </c>
      <c r="AE91" s="17" t="n">
        <v>293.3377</v>
      </c>
      <c r="AF91" s="17" t="n">
        <v>285.3184</v>
      </c>
      <c r="AG91" s="17" t="n">
        <v>301.3571</v>
      </c>
      <c r="AH91" s="20" t="n">
        <v>46331</v>
      </c>
      <c r="AI91" s="18" t="n">
        <v>0.57</v>
      </c>
      <c r="AJ91" s="6" t="inlineStr">
        <is>
          <t>ok</t>
        </is>
      </c>
      <c r="AK91" s="12" t="n">
        <v>4</v>
      </c>
      <c r="AL91" s="15" t="inlineStr">
        <is>
          <t>Steve Jobs' Son Says GLP-1 Weight Loss Drugs Could Be Among Most Important Medicines Ever, With Potential Impact on Cancer</t>
        </is>
      </c>
      <c r="AM91" s="17" t="n">
        <v>290.1</v>
      </c>
      <c r="AN91" s="19" t="n">
        <v>0.0135</v>
      </c>
      <c r="AO91" s="17" t="n">
        <v>99368.08</v>
      </c>
      <c r="AP91" s="17" t="n">
        <v>7980.85</v>
      </c>
      <c r="AQ91" s="19" t="n">
        <v>0.0833</v>
      </c>
      <c r="AR91" s="16" t="n"/>
      <c r="AS91" s="17" t="n"/>
      <c r="AT91" s="19" t="n"/>
      <c r="AU91" s="6" t="inlineStr">
        <is>
          <t>paper</t>
        </is>
      </c>
      <c r="AV91" s="6" t="inlineStr">
        <is>
          <t>6e3e1966-fed1-4e2c-8f60-4d6a94ba2b8f</t>
        </is>
      </c>
      <c r="AW91" s="6" t="inlineStr">
        <is>
          <t>tdagent-buy-ABBV-1793287008370</t>
        </is>
      </c>
      <c r="AX91" s="13" t="n">
        <v>46324.63666666667</v>
      </c>
      <c r="AY91" s="13" t="n">
        <v>46324.63667824074</v>
      </c>
      <c r="AZ91" s="13" t="n">
        <v>46324.63631944444</v>
      </c>
      <c r="BA91" s="6" t="n"/>
    </row>
    <row r="92">
      <c r="A92" s="12" t="n">
        <v>91</v>
      </c>
      <c r="B92" s="13" t="n">
        <v>46324.67834490741</v>
      </c>
      <c r="C92" s="13" t="n">
        <v>46324.47001157407</v>
      </c>
      <c r="D92" s="13" t="n">
        <v>46324.63667824074</v>
      </c>
      <c r="E92" s="14" t="inlineStr">
        <is>
          <t>BUY</t>
        </is>
      </c>
      <c r="F92" s="6" t="inlineStr">
        <is>
          <t>XOM</t>
        </is>
      </c>
      <c r="G92" s="15" t="inlineStr">
        <is>
          <t>ExxonMobil Holdings Corporation</t>
        </is>
      </c>
      <c r="H92" s="6" t="inlineStr">
        <is>
          <t>NYSE</t>
        </is>
      </c>
      <c r="I92" s="6" t="inlineStr">
        <is>
          <t>filled</t>
        </is>
      </c>
      <c r="J92" s="16" t="n">
        <v>3.658320493</v>
      </c>
      <c r="K92" s="17" t="n">
        <v>181.72</v>
      </c>
      <c r="L92" s="17">
        <f>IF(AND(ISNUMBER(J92),ISNUMBER(K92)),J92*K92,"")</f>
        <v/>
      </c>
      <c r="M92" s="17" t="n">
        <v>664.8</v>
      </c>
      <c r="N92" s="16" t="n"/>
      <c r="O92" s="6" t="inlineStr">
        <is>
          <t>4+/5 green</t>
        </is>
      </c>
      <c r="P92" s="15" t="inlineStr">
        <is>
          <t>5 of 5 green, time machine green, rank #4, 8.33% of the $7,980.85 free cash split 12 ways</t>
        </is>
      </c>
      <c r="Q92" s="12" t="n">
        <v>5</v>
      </c>
      <c r="R92" s="6" t="inlineStr">
        <is>
          <t>ok</t>
        </is>
      </c>
      <c r="S92" s="18" t="n">
        <v>0.624</v>
      </c>
      <c r="T92" s="12" t="n">
        <v>93</v>
      </c>
      <c r="U92" s="19" t="n">
        <v>0.0119</v>
      </c>
      <c r="V92" s="19" t="n">
        <v>-0.1395</v>
      </c>
      <c r="W92" s="12" t="n">
        <v>4</v>
      </c>
      <c r="X92" s="6" t="inlineStr">
        <is>
          <t>ok</t>
        </is>
      </c>
      <c r="Y92" s="19" t="n">
        <v>0.0001</v>
      </c>
      <c r="Z92" s="6" t="inlineStr">
        <is>
          <t>ok</t>
        </is>
      </c>
      <c r="AA92" s="12" t="n">
        <v>100</v>
      </c>
      <c r="AB92" s="15" t="n"/>
      <c r="AC92" s="6" t="inlineStr">
        <is>
          <t>ok</t>
        </is>
      </c>
      <c r="AD92" s="6" t="inlineStr">
        <is>
          <t>up</t>
        </is>
      </c>
      <c r="AE92" s="17" t="n">
        <v>184.0513</v>
      </c>
      <c r="AF92" s="17" t="n">
        <v>177.9106</v>
      </c>
      <c r="AG92" s="17" t="n">
        <v>190.1919</v>
      </c>
      <c r="AH92" s="20" t="n">
        <v>46331</v>
      </c>
      <c r="AI92" s="18" t="n">
        <v>0.57</v>
      </c>
      <c r="AJ92" s="6" t="inlineStr">
        <is>
          <t>ok</t>
        </is>
      </c>
      <c r="AK92" s="12" t="n">
        <v>4</v>
      </c>
      <c r="AL92" s="15" t="inlineStr">
        <is>
          <t>Top 3 Energy Stocks You May Want To Dump In Q4</t>
        </is>
      </c>
      <c r="AM92" s="17" t="n">
        <v>181.595</v>
      </c>
      <c r="AN92" s="19" t="n">
        <v>-0.0027</v>
      </c>
      <c r="AO92" s="17" t="n">
        <v>99368.08</v>
      </c>
      <c r="AP92" s="17" t="n">
        <v>7980.85</v>
      </c>
      <c r="AQ92" s="19" t="n">
        <v>0.0833</v>
      </c>
      <c r="AR92" s="16" t="n"/>
      <c r="AS92" s="17" t="n"/>
      <c r="AT92" s="19" t="n"/>
      <c r="AU92" s="6" t="inlineStr">
        <is>
          <t>paper</t>
        </is>
      </c>
      <c r="AV92" s="6" t="inlineStr">
        <is>
          <t>894141b0-8346-46b3-a49c-bbf0dbf99138</t>
        </is>
      </c>
      <c r="AW92" s="6" t="inlineStr">
        <is>
          <t>tdagent-buy-XOM-1793287008620</t>
        </is>
      </c>
      <c r="AX92" s="13" t="n">
        <v>46324.63666666667</v>
      </c>
      <c r="AY92" s="13" t="n">
        <v>46324.63667824074</v>
      </c>
      <c r="AZ92" s="13" t="n">
        <v>46324.63631944444</v>
      </c>
      <c r="BA92" s="6" t="n"/>
    </row>
    <row r="93">
      <c r="A93" s="12" t="n">
        <v>92</v>
      </c>
      <c r="B93" s="13" t="n">
        <v>46324.67835648148</v>
      </c>
      <c r="C93" s="13" t="n">
        <v>46324.47002314815</v>
      </c>
      <c r="D93" s="13" t="n">
        <v>46324.63668981481</v>
      </c>
      <c r="E93" s="14" t="inlineStr">
        <is>
          <t>BUY</t>
        </is>
      </c>
      <c r="F93" s="6" t="inlineStr">
        <is>
          <t>DT</t>
        </is>
      </c>
      <c r="G93" s="15" t="inlineStr">
        <is>
          <t>Dynatrace, Inc.</t>
        </is>
      </c>
      <c r="H93" s="6" t="inlineStr">
        <is>
          <t>NYSE</t>
        </is>
      </c>
      <c r="I93" s="6" t="inlineStr">
        <is>
          <t>filled</t>
        </is>
      </c>
      <c r="J93" s="16" t="n">
        <v>10.943045267</v>
      </c>
      <c r="K93" s="17" t="n">
        <v>60.75</v>
      </c>
      <c r="L93" s="17">
        <f>IF(AND(ISNUMBER(J93),ISNUMBER(K93)),J93*K93,"")</f>
        <v/>
      </c>
      <c r="M93" s="17" t="n">
        <v>664.8</v>
      </c>
      <c r="N93" s="16" t="n"/>
      <c r="O93" s="6" t="inlineStr">
        <is>
          <t>4+/5 green</t>
        </is>
      </c>
      <c r="P93" s="15" t="inlineStr">
        <is>
          <t>5 of 5 green, time machine green, rank #5, 8.33% of the $7,980.85 free cash split 12 ways</t>
        </is>
      </c>
      <c r="Q93" s="12" t="n">
        <v>5</v>
      </c>
      <c r="R93" s="6" t="inlineStr">
        <is>
          <t>ok</t>
        </is>
      </c>
      <c r="S93" s="18" t="n">
        <v>0.635</v>
      </c>
      <c r="T93" s="12" t="n">
        <v>52</v>
      </c>
      <c r="U93" s="19" t="n">
        <v>0.0125</v>
      </c>
      <c r="V93" s="19" t="n">
        <v>-0.1395</v>
      </c>
      <c r="W93" s="12" t="n">
        <v>5</v>
      </c>
      <c r="X93" s="6" t="inlineStr">
        <is>
          <t>ok</t>
        </is>
      </c>
      <c r="Y93" s="19" t="n">
        <v>0.0002</v>
      </c>
      <c r="Z93" s="6" t="inlineStr">
        <is>
          <t>ok</t>
        </is>
      </c>
      <c r="AA93" s="12" t="n">
        <v>100</v>
      </c>
      <c r="AB93" s="15" t="n"/>
      <c r="AC93" s="6" t="inlineStr">
        <is>
          <t>ok</t>
        </is>
      </c>
      <c r="AD93" s="6" t="inlineStr">
        <is>
          <t>up</t>
        </is>
      </c>
      <c r="AE93" s="17" t="n">
        <v>62.0102</v>
      </c>
      <c r="AF93" s="17" t="n">
        <v>59.0097</v>
      </c>
      <c r="AG93" s="17" t="n">
        <v>65.0106</v>
      </c>
      <c r="AH93" s="20" t="n">
        <v>46331</v>
      </c>
      <c r="AI93" s="18" t="n">
        <v>0.54</v>
      </c>
      <c r="AJ93" s="6" t="inlineStr">
        <is>
          <t>ok</t>
        </is>
      </c>
      <c r="AK93" s="12" t="n">
        <v>4</v>
      </c>
      <c r="AL93" s="15" t="inlineStr">
        <is>
          <t>Rosenblatt Maintains Buy on Dynatrace, Raises Price Target to $70</t>
        </is>
      </c>
      <c r="AM93" s="17" t="n">
        <v>60.8</v>
      </c>
      <c r="AN93" s="19" t="n">
        <v>-0.0329</v>
      </c>
      <c r="AO93" s="17" t="n">
        <v>99368.08</v>
      </c>
      <c r="AP93" s="17" t="n">
        <v>7980.85</v>
      </c>
      <c r="AQ93" s="19" t="n">
        <v>0.0833</v>
      </c>
      <c r="AR93" s="16" t="n"/>
      <c r="AS93" s="17" t="n"/>
      <c r="AT93" s="19" t="n"/>
      <c r="AU93" s="6" t="inlineStr">
        <is>
          <t>paper</t>
        </is>
      </c>
      <c r="AV93" s="6" t="inlineStr">
        <is>
          <t>80a8cba4-7fd6-4ee7-9cb9-d4b67e28d726</t>
        </is>
      </c>
      <c r="AW93" s="6" t="inlineStr">
        <is>
          <t>tdagent-buy-DT-1793287008877</t>
        </is>
      </c>
      <c r="AX93" s="13" t="n">
        <v>46324.63666666667</v>
      </c>
      <c r="AY93" s="13" t="n">
        <v>46324.63668981481</v>
      </c>
      <c r="AZ93" s="13" t="n">
        <v>46324.63631944444</v>
      </c>
      <c r="BA93" s="6" t="n"/>
    </row>
    <row r="94">
      <c r="A94" s="12" t="n">
        <v>93</v>
      </c>
      <c r="B94" s="13" t="n">
        <v>46324.67835648148</v>
      </c>
      <c r="C94" s="13" t="n">
        <v>46324.47002314815</v>
      </c>
      <c r="D94" s="13" t="n">
        <v>46324.63668981481</v>
      </c>
      <c r="E94" s="14" t="inlineStr">
        <is>
          <t>BUY</t>
        </is>
      </c>
      <c r="F94" s="6" t="inlineStr">
        <is>
          <t>DUK</t>
        </is>
      </c>
      <c r="G94" s="15" t="inlineStr">
        <is>
          <t>Duke Energy Corporation</t>
        </is>
      </c>
      <c r="H94" s="6" t="inlineStr">
        <is>
          <t>NYSE</t>
        </is>
      </c>
      <c r="I94" s="6" t="inlineStr">
        <is>
          <t>filled</t>
        </is>
      </c>
      <c r="J94" s="16" t="n">
        <v>5.287020836</v>
      </c>
      <c r="K94" s="17" t="n">
        <v>125.74</v>
      </c>
      <c r="L94" s="17">
        <f>IF(AND(ISNUMBER(J94),ISNUMBER(K94)),J94*K94,"")</f>
        <v/>
      </c>
      <c r="M94" s="17" t="n">
        <v>664.8</v>
      </c>
      <c r="N94" s="16" t="n"/>
      <c r="O94" s="6" t="inlineStr">
        <is>
          <t>4+/5 green</t>
        </is>
      </c>
      <c r="P94" s="15" t="inlineStr">
        <is>
          <t>5 of 5 green, time machine green, rank #6, 8.33% of the $7,980.85 free cash split 12 ways</t>
        </is>
      </c>
      <c r="Q94" s="12" t="n">
        <v>5</v>
      </c>
      <c r="R94" s="6" t="inlineStr">
        <is>
          <t>ok</t>
        </is>
      </c>
      <c r="S94" s="18" t="n">
        <v>0.615</v>
      </c>
      <c r="T94" s="12" t="n">
        <v>26</v>
      </c>
      <c r="U94" s="19" t="n">
        <v>0.0075</v>
      </c>
      <c r="V94" s="19" t="n">
        <v>-0.1395</v>
      </c>
      <c r="W94" s="12" t="n">
        <v>6</v>
      </c>
      <c r="X94" s="6" t="inlineStr">
        <is>
          <t>ok</t>
        </is>
      </c>
      <c r="Y94" s="19" t="n">
        <v>0.0003</v>
      </c>
      <c r="Z94" s="6" t="inlineStr">
        <is>
          <t>ok</t>
        </is>
      </c>
      <c r="AA94" s="12" t="n">
        <v>100</v>
      </c>
      <c r="AB94" s="15" t="n"/>
      <c r="AC94" s="6" t="inlineStr">
        <is>
          <t>ok</t>
        </is>
      </c>
      <c r="AD94" s="6" t="inlineStr">
        <is>
          <t>up</t>
        </is>
      </c>
      <c r="AE94" s="17" t="n">
        <v>126.9377</v>
      </c>
      <c r="AF94" s="17" t="n">
        <v>123.8434</v>
      </c>
      <c r="AG94" s="17" t="n">
        <v>130.032</v>
      </c>
      <c r="AH94" s="20" t="n">
        <v>46331</v>
      </c>
      <c r="AI94" s="18" t="n">
        <v>0.55</v>
      </c>
      <c r="AJ94" s="6" t="inlineStr">
        <is>
          <t>ok</t>
        </is>
      </c>
      <c r="AK94" s="12" t="n">
        <v>1</v>
      </c>
      <c r="AL94" s="15" t="inlineStr">
        <is>
          <t>Duke Energy Updates Emergency Planning Zones for Brunswick Nuclear Plant</t>
        </is>
      </c>
      <c r="AM94" s="17" t="n">
        <v>125.7</v>
      </c>
      <c r="AN94" s="19" t="n">
        <v>0.0167</v>
      </c>
      <c r="AO94" s="17" t="n">
        <v>99368.08</v>
      </c>
      <c r="AP94" s="17" t="n">
        <v>7980.85</v>
      </c>
      <c r="AQ94" s="19" t="n">
        <v>0.0833</v>
      </c>
      <c r="AR94" s="16" t="n"/>
      <c r="AS94" s="17" t="n"/>
      <c r="AT94" s="19" t="n"/>
      <c r="AU94" s="6" t="inlineStr">
        <is>
          <t>paper</t>
        </is>
      </c>
      <c r="AV94" s="6" t="inlineStr">
        <is>
          <t>584d2887-04f8-4615-a1fa-d901e34e2f86</t>
        </is>
      </c>
      <c r="AW94" s="6" t="inlineStr">
        <is>
          <t>tdagent-buy-DUK-1793287009163</t>
        </is>
      </c>
      <c r="AX94" s="13" t="n">
        <v>46324.63667824074</v>
      </c>
      <c r="AY94" s="13" t="n">
        <v>46324.63668981481</v>
      </c>
      <c r="AZ94" s="13" t="n">
        <v>46324.63631944444</v>
      </c>
      <c r="BA94" s="6" t="n"/>
    </row>
    <row r="95">
      <c r="A95" s="12" t="n">
        <v>94</v>
      </c>
      <c r="B95" s="13" t="n">
        <v>46324.67835648148</v>
      </c>
      <c r="C95" s="13" t="n">
        <v>46324.47002314815</v>
      </c>
      <c r="D95" s="13" t="n">
        <v>46324.63668981481</v>
      </c>
      <c r="E95" s="14" t="inlineStr">
        <is>
          <t>BUY</t>
        </is>
      </c>
      <c r="F95" s="6" t="inlineStr">
        <is>
          <t>KR</t>
        </is>
      </c>
      <c r="G95" s="15" t="inlineStr">
        <is>
          <t>The Kroger Co.</t>
        </is>
      </c>
      <c r="H95" s="6" t="inlineStr">
        <is>
          <t>NYSE</t>
        </is>
      </c>
      <c r="I95" s="6" t="inlineStr">
        <is>
          <t>filled</t>
        </is>
      </c>
      <c r="J95" s="16" t="n">
        <v>10.152565668</v>
      </c>
      <c r="K95" s="17" t="n">
        <v>65.48</v>
      </c>
      <c r="L95" s="17">
        <f>IF(AND(ISNUMBER(J95),ISNUMBER(K95)),J95*K95,"")</f>
        <v/>
      </c>
      <c r="M95" s="17" t="n">
        <v>664.8</v>
      </c>
      <c r="N95" s="16" t="n"/>
      <c r="O95" s="6" t="inlineStr">
        <is>
          <t>4+/5 green</t>
        </is>
      </c>
      <c r="P95" s="15" t="inlineStr">
        <is>
          <t>5 of 5 green, time machine green, rank #7, 8.33% of the $7,980.85 free cash split 12 ways</t>
        </is>
      </c>
      <c r="Q95" s="12" t="n">
        <v>5</v>
      </c>
      <c r="R95" s="6" t="inlineStr">
        <is>
          <t>ok</t>
        </is>
      </c>
      <c r="S95" s="18" t="n">
        <v>0.615</v>
      </c>
      <c r="T95" s="12" t="n">
        <v>39</v>
      </c>
      <c r="U95" s="19" t="n">
        <v>0.0137</v>
      </c>
      <c r="V95" s="19" t="n">
        <v>-0.1395</v>
      </c>
      <c r="W95" s="12" t="n">
        <v>7</v>
      </c>
      <c r="X95" s="6" t="inlineStr">
        <is>
          <t>ok</t>
        </is>
      </c>
      <c r="Y95" s="19" t="n">
        <v>0.0018</v>
      </c>
      <c r="Z95" s="6" t="inlineStr">
        <is>
          <t>ok</t>
        </is>
      </c>
      <c r="AA95" s="12" t="n">
        <v>100</v>
      </c>
      <c r="AB95" s="15" t="n"/>
      <c r="AC95" s="6" t="inlineStr">
        <is>
          <t>ok</t>
        </is>
      </c>
      <c r="AD95" s="6" t="inlineStr">
        <is>
          <t>up</t>
        </is>
      </c>
      <c r="AE95" s="17" t="n">
        <v>66.5149</v>
      </c>
      <c r="AF95" s="17" t="n">
        <v>63.9026</v>
      </c>
      <c r="AG95" s="17" t="n">
        <v>69.12730000000001</v>
      </c>
      <c r="AH95" s="20" t="n">
        <v>46331</v>
      </c>
      <c r="AI95" s="18" t="n">
        <v>0.55</v>
      </c>
      <c r="AJ95" s="6" t="inlineStr">
        <is>
          <t>ok</t>
        </is>
      </c>
      <c r="AK95" s="12" t="n">
        <v>4</v>
      </c>
      <c r="AL95" s="15" t="inlineStr">
        <is>
          <t>Kroger Announces High Critical Ratings for Exclusive Wine Portfolio</t>
        </is>
      </c>
      <c r="AM95" s="17" t="n">
        <v>65.47</v>
      </c>
      <c r="AN95" s="19" t="n">
        <v>0.0069</v>
      </c>
      <c r="AO95" s="17" t="n">
        <v>99368.08</v>
      </c>
      <c r="AP95" s="17" t="n">
        <v>7980.85</v>
      </c>
      <c r="AQ95" s="19" t="n">
        <v>0.0833</v>
      </c>
      <c r="AR95" s="16" t="n"/>
      <c r="AS95" s="17" t="n"/>
      <c r="AT95" s="19" t="n"/>
      <c r="AU95" s="6" t="inlineStr">
        <is>
          <t>paper</t>
        </is>
      </c>
      <c r="AV95" s="6" t="inlineStr">
        <is>
          <t>aeb6105c-3950-4bf5-801f-10b147dce0b5</t>
        </is>
      </c>
      <c r="AW95" s="6" t="inlineStr">
        <is>
          <t>tdagent-buy-KR-1793287009428</t>
        </is>
      </c>
      <c r="AX95" s="13" t="n">
        <v>46324.63667824074</v>
      </c>
      <c r="AY95" s="13" t="n">
        <v>46324.63668981481</v>
      </c>
      <c r="AZ95" s="13" t="n">
        <v>46324.63631944444</v>
      </c>
      <c r="BA95" s="6" t="n"/>
    </row>
    <row r="96">
      <c r="A96" s="12" t="n">
        <v>95</v>
      </c>
      <c r="B96" s="13" t="n">
        <v>46324.67835648148</v>
      </c>
      <c r="C96" s="13" t="n">
        <v>46324.47002314815</v>
      </c>
      <c r="D96" s="13" t="n">
        <v>46324.63668981481</v>
      </c>
      <c r="E96" s="14" t="inlineStr">
        <is>
          <t>BUY</t>
        </is>
      </c>
      <c r="F96" s="6" t="inlineStr">
        <is>
          <t>SHEL</t>
        </is>
      </c>
      <c r="G96" s="15" t="inlineStr">
        <is>
          <t>Shell plc American Depositary Shares (Each represents two Ordinary shares)</t>
        </is>
      </c>
      <c r="H96" s="6" t="inlineStr">
        <is>
          <t>NYSE</t>
        </is>
      </c>
      <c r="I96" s="6" t="inlineStr">
        <is>
          <t>filled</t>
        </is>
      </c>
      <c r="J96" s="16" t="n">
        <v>6.184668341</v>
      </c>
      <c r="K96" s="17" t="n">
        <v>107.49</v>
      </c>
      <c r="L96" s="17">
        <f>IF(AND(ISNUMBER(J96),ISNUMBER(K96)),J96*K96,"")</f>
        <v/>
      </c>
      <c r="M96" s="17" t="n">
        <v>664.8</v>
      </c>
      <c r="N96" s="16" t="n"/>
      <c r="O96" s="6" t="inlineStr">
        <is>
          <t>4+/5 green</t>
        </is>
      </c>
      <c r="P96" s="15" t="inlineStr">
        <is>
          <t>4 of 5 green, time machine green, rank #8, 8.33% of the $7,980.85 free cash split 12 ways</t>
        </is>
      </c>
      <c r="Q96" s="12" t="n">
        <v>4</v>
      </c>
      <c r="R96" s="6" t="inlineStr">
        <is>
          <t>ok</t>
        </is>
      </c>
      <c r="S96" s="18" t="n">
        <v>0.667</v>
      </c>
      <c r="T96" s="12" t="n">
        <v>90</v>
      </c>
      <c r="U96" s="19" t="n">
        <v>0.0127</v>
      </c>
      <c r="V96" s="19" t="n">
        <v>-0.1395</v>
      </c>
      <c r="W96" s="12" t="n">
        <v>8</v>
      </c>
      <c r="X96" s="6" t="inlineStr">
        <is>
          <t>ok</t>
        </is>
      </c>
      <c r="Y96" s="19" t="n">
        <v>0</v>
      </c>
      <c r="Z96" s="6" t="inlineStr">
        <is>
          <t>ok</t>
        </is>
      </c>
      <c r="AA96" s="12" t="n">
        <v>100</v>
      </c>
      <c r="AB96" s="15" t="n"/>
      <c r="AC96" s="6" t="inlineStr">
        <is>
          <t>ok</t>
        </is>
      </c>
      <c r="AD96" s="6" t="inlineStr">
        <is>
          <t>up</t>
        </is>
      </c>
      <c r="AE96" s="17" t="n">
        <v>108.6361</v>
      </c>
      <c r="AF96" s="17" t="n">
        <v>105.5708</v>
      </c>
      <c r="AG96" s="17" t="n">
        <v>111.7015</v>
      </c>
      <c r="AH96" s="20" t="n">
        <v>46331</v>
      </c>
      <c r="AI96" s="18" t="n">
        <v>0.58</v>
      </c>
      <c r="AJ96" s="6" t="inlineStr">
        <is>
          <t>watch</t>
        </is>
      </c>
      <c r="AK96" s="12" t="n">
        <v>10</v>
      </c>
      <c r="AL96" s="15" t="inlineStr">
        <is>
          <t>Shell Q3 Earnings Reach Highest Level Since 2022 Amid Middle-East Turmoil</t>
        </is>
      </c>
      <c r="AM96" s="17" t="n">
        <v>107.405</v>
      </c>
      <c r="AN96" s="19" t="n">
        <v>0.0219</v>
      </c>
      <c r="AO96" s="17" t="n">
        <v>99368.08</v>
      </c>
      <c r="AP96" s="17" t="n">
        <v>7980.85</v>
      </c>
      <c r="AQ96" s="19" t="n">
        <v>0.0833</v>
      </c>
      <c r="AR96" s="16" t="n"/>
      <c r="AS96" s="17" t="n"/>
      <c r="AT96" s="19" t="n"/>
      <c r="AU96" s="6" t="inlineStr">
        <is>
          <t>paper</t>
        </is>
      </c>
      <c r="AV96" s="6" t="inlineStr">
        <is>
          <t>aa029f26-64e4-4ab1-b405-70dc8dc432cc</t>
        </is>
      </c>
      <c r="AW96" s="6" t="inlineStr">
        <is>
          <t>tdagent-buy-SHEL-1793287009677</t>
        </is>
      </c>
      <c r="AX96" s="13" t="n">
        <v>46324.63667824074</v>
      </c>
      <c r="AY96" s="13" t="n">
        <v>46324.63668981481</v>
      </c>
      <c r="AZ96" s="13" t="n">
        <v>46324.63631944444</v>
      </c>
      <c r="BA96" s="6" t="n"/>
    </row>
    <row r="97">
      <c r="A97" s="12" t="n">
        <v>96</v>
      </c>
      <c r="B97" s="13" t="n">
        <v>46324.67835648148</v>
      </c>
      <c r="C97" s="13" t="n">
        <v>46324.47002314815</v>
      </c>
      <c r="D97" s="13" t="n">
        <v>46324.63668981481</v>
      </c>
      <c r="E97" s="14" t="inlineStr">
        <is>
          <t>BUY</t>
        </is>
      </c>
      <c r="F97" s="6" t="inlineStr">
        <is>
          <t>ILMN</t>
        </is>
      </c>
      <c r="G97" s="15" t="inlineStr">
        <is>
          <t>Illumina, Inc. Common Stock</t>
        </is>
      </c>
      <c r="H97" s="6" t="inlineStr">
        <is>
          <t>NASDAQ</t>
        </is>
      </c>
      <c r="I97" s="6" t="inlineStr">
        <is>
          <t>filled</t>
        </is>
      </c>
      <c r="J97" s="16" t="n">
        <v>2.303818963</v>
      </c>
      <c r="K97" s="17" t="n">
        <v>288.56</v>
      </c>
      <c r="L97" s="17">
        <f>IF(AND(ISNUMBER(J97),ISNUMBER(K97)),J97*K97,"")</f>
        <v/>
      </c>
      <c r="M97" s="17" t="n">
        <v>664.8</v>
      </c>
      <c r="N97" s="16" t="n"/>
      <c r="O97" s="6" t="inlineStr">
        <is>
          <t>4+/5 green</t>
        </is>
      </c>
      <c r="P97" s="15" t="inlineStr">
        <is>
          <t>5 of 5 green, time machine green, rank #10, 8.33% of the $7,980.85 free cash split 12 ways</t>
        </is>
      </c>
      <c r="Q97" s="12" t="n">
        <v>5</v>
      </c>
      <c r="R97" s="6" t="inlineStr">
        <is>
          <t>ok</t>
        </is>
      </c>
      <c r="S97" s="18" t="n">
        <v>0.595</v>
      </c>
      <c r="T97" s="12" t="n">
        <v>126</v>
      </c>
      <c r="U97" s="19" t="n">
        <v>0.0155</v>
      </c>
      <c r="V97" s="19" t="n">
        <v>-0.1395</v>
      </c>
      <c r="W97" s="12" t="n">
        <v>10</v>
      </c>
      <c r="X97" s="6" t="inlineStr">
        <is>
          <t>ok</t>
        </is>
      </c>
      <c r="Y97" s="19" t="n">
        <v>0</v>
      </c>
      <c r="Z97" s="6" t="inlineStr">
        <is>
          <t>ok</t>
        </is>
      </c>
      <c r="AA97" s="12" t="n">
        <v>100</v>
      </c>
      <c r="AB97" s="15" t="n"/>
      <c r="AC97" s="6" t="inlineStr">
        <is>
          <t>ok</t>
        </is>
      </c>
      <c r="AD97" s="6" t="inlineStr">
        <is>
          <t>up</t>
        </is>
      </c>
      <c r="AE97" s="17" t="n">
        <v>296.6903</v>
      </c>
      <c r="AF97" s="17" t="n">
        <v>275.5645</v>
      </c>
      <c r="AG97" s="17" t="n">
        <v>317.8161</v>
      </c>
      <c r="AH97" s="20" t="n">
        <v>46331</v>
      </c>
      <c r="AI97" s="18" t="n">
        <v>0.54</v>
      </c>
      <c r="AJ97" s="6" t="inlineStr">
        <is>
          <t>ok</t>
        </is>
      </c>
      <c r="AK97" s="12" t="n">
        <v>1</v>
      </c>
      <c r="AL97" s="15" t="inlineStr">
        <is>
          <t>Amazon, Eli Lilly On Deck Thursday As AWS Growth, Drug Demand Face Test</t>
        </is>
      </c>
      <c r="AM97" s="17" t="n">
        <v>288.24</v>
      </c>
      <c r="AN97" s="19" t="n">
        <v>-0.002</v>
      </c>
      <c r="AO97" s="17" t="n">
        <v>99368.08</v>
      </c>
      <c r="AP97" s="17" t="n">
        <v>7980.85</v>
      </c>
      <c r="AQ97" s="19" t="n">
        <v>0.0833</v>
      </c>
      <c r="AR97" s="16" t="n"/>
      <c r="AS97" s="17" t="n"/>
      <c r="AT97" s="19" t="n"/>
      <c r="AU97" s="6" t="inlineStr">
        <is>
          <t>paper</t>
        </is>
      </c>
      <c r="AV97" s="6" t="inlineStr">
        <is>
          <t>31d91322-0a25-4696-abe1-71b5cad5972d</t>
        </is>
      </c>
      <c r="AW97" s="6" t="inlineStr">
        <is>
          <t>tdagent-buy-ILMN-1793287010075</t>
        </is>
      </c>
      <c r="AX97" s="13" t="n">
        <v>46324.63668981481</v>
      </c>
      <c r="AY97" s="13" t="n">
        <v>46324.63668981481</v>
      </c>
      <c r="AZ97" s="13" t="n">
        <v>46324.63631944444</v>
      </c>
      <c r="BA97" s="6" t="n"/>
    </row>
    <row r="98">
      <c r="A98" s="12" t="n">
        <v>97</v>
      </c>
      <c r="B98" s="13" t="n">
        <v>46324.67835648148</v>
      </c>
      <c r="C98" s="13" t="n">
        <v>46324.47002314815</v>
      </c>
      <c r="D98" s="13" t="n">
        <v>46324.63668981481</v>
      </c>
      <c r="E98" s="14" t="inlineStr">
        <is>
          <t>BUY</t>
        </is>
      </c>
      <c r="F98" s="6" t="inlineStr">
        <is>
          <t>ACN</t>
        </is>
      </c>
      <c r="G98" s="15" t="inlineStr">
        <is>
          <t>Accenture PLC</t>
        </is>
      </c>
      <c r="H98" s="6" t="inlineStr">
        <is>
          <t>NYSE</t>
        </is>
      </c>
      <c r="I98" s="6" t="inlineStr">
        <is>
          <t>filled</t>
        </is>
      </c>
      <c r="J98" s="16" t="n">
        <v>2.726336942</v>
      </c>
      <c r="K98" s="17" t="n">
        <v>243.84</v>
      </c>
      <c r="L98" s="17">
        <f>IF(AND(ISNUMBER(J98),ISNUMBER(K98)),J98*K98,"")</f>
        <v/>
      </c>
      <c r="M98" s="17" t="n">
        <v>664.8</v>
      </c>
      <c r="N98" s="16" t="n"/>
      <c r="O98" s="6" t="inlineStr">
        <is>
          <t>4+/5 green</t>
        </is>
      </c>
      <c r="P98" s="15" t="inlineStr">
        <is>
          <t>5 of 5 green, time machine green, rank #12, 8.33% of the $7,980.85 free cash split 12 ways</t>
        </is>
      </c>
      <c r="Q98" s="12" t="n">
        <v>5</v>
      </c>
      <c r="R98" s="6" t="inlineStr">
        <is>
          <t>ok</t>
        </is>
      </c>
      <c r="S98" s="18" t="n">
        <v>0.551</v>
      </c>
      <c r="T98" s="12" t="n">
        <v>49</v>
      </c>
      <c r="U98" s="19" t="n">
        <v>0.0072</v>
      </c>
      <c r="V98" s="19" t="n">
        <v>-0.1395</v>
      </c>
      <c r="W98" s="12" t="n">
        <v>12</v>
      </c>
      <c r="X98" s="6" t="inlineStr">
        <is>
          <t>ok</t>
        </is>
      </c>
      <c r="Y98" s="19" t="n">
        <v>0.0008</v>
      </c>
      <c r="Z98" s="6" t="inlineStr">
        <is>
          <t>ok</t>
        </is>
      </c>
      <c r="AA98" s="12" t="n">
        <v>100</v>
      </c>
      <c r="AB98" s="15" t="n"/>
      <c r="AC98" s="6" t="inlineStr">
        <is>
          <t>ok</t>
        </is>
      </c>
      <c r="AD98" s="6" t="inlineStr">
        <is>
          <t>up</t>
        </is>
      </c>
      <c r="AE98" s="17" t="n">
        <v>250.9857</v>
      </c>
      <c r="AF98" s="17" t="n">
        <v>232.234</v>
      </c>
      <c r="AG98" s="17" t="n">
        <v>269.7373</v>
      </c>
      <c r="AH98" s="20" t="n">
        <v>46331</v>
      </c>
      <c r="AI98" s="18" t="n">
        <v>0.57</v>
      </c>
      <c r="AJ98" s="6" t="inlineStr">
        <is>
          <t>ok</t>
        </is>
      </c>
      <c r="AK98" s="12" t="n">
        <v>5</v>
      </c>
      <c r="AL98" s="15" t="inlineStr">
        <is>
          <t>Accenture Recognized in 2026 Guidewire PartnerConnect Excellence Awards</t>
        </is>
      </c>
      <c r="AM98" s="17" t="n">
        <v>243.485</v>
      </c>
      <c r="AN98" s="19" t="n">
        <v>-0.0015</v>
      </c>
      <c r="AO98" s="17" t="n">
        <v>99368.08</v>
      </c>
      <c r="AP98" s="17" t="n">
        <v>7980.85</v>
      </c>
      <c r="AQ98" s="19" t="n">
        <v>0.0833</v>
      </c>
      <c r="AR98" s="16" t="n"/>
      <c r="AS98" s="17" t="n"/>
      <c r="AT98" s="19" t="n"/>
      <c r="AU98" s="6" t="inlineStr">
        <is>
          <t>paper</t>
        </is>
      </c>
      <c r="AV98" s="6" t="inlineStr">
        <is>
          <t>10044009-32c9-4f22-a20f-9acdfdd2b100</t>
        </is>
      </c>
      <c r="AW98" s="6" t="inlineStr">
        <is>
          <t>tdagent-buy-ACN-1793287010453</t>
        </is>
      </c>
      <c r="AX98" s="13" t="n">
        <v>46324.63668981481</v>
      </c>
      <c r="AY98" s="13" t="n">
        <v>46324.63668981481</v>
      </c>
      <c r="AZ98" s="13" t="n">
        <v>46324.63631944444</v>
      </c>
      <c r="BA98" s="6" t="n"/>
    </row>
    <row r="99">
      <c r="A99" s="12" t="n">
        <v>98</v>
      </c>
      <c r="B99" s="13" t="n">
        <v>46324.67839120371</v>
      </c>
      <c r="C99" s="13" t="n">
        <v>46324.47005787037</v>
      </c>
      <c r="D99" s="13" t="n">
        <v>46324.63672453703</v>
      </c>
      <c r="E99" s="14" t="inlineStr">
        <is>
          <t>BUY</t>
        </is>
      </c>
      <c r="F99" s="6" t="inlineStr">
        <is>
          <t>EQNR</t>
        </is>
      </c>
      <c r="G99" s="15" t="inlineStr">
        <is>
          <t>Equinor ASA American Depositary Shares (Each Representing One Ordinary Share, nominal value NOK 2.50 per share)</t>
        </is>
      </c>
      <c r="H99" s="6" t="inlineStr">
        <is>
          <t>NYSE</t>
        </is>
      </c>
      <c r="I99" s="6" t="inlineStr">
        <is>
          <t>filled</t>
        </is>
      </c>
      <c r="J99" s="16" t="n">
        <v>14.117434699</v>
      </c>
      <c r="K99" s="17" t="n">
        <v>47.09</v>
      </c>
      <c r="L99" s="17">
        <f>IF(AND(ISNUMBER(J99),ISNUMBER(K99)),J99*K99,"")</f>
        <v/>
      </c>
      <c r="M99" s="17" t="n">
        <v>664.8</v>
      </c>
      <c r="N99" s="16" t="n"/>
      <c r="O99" s="6" t="inlineStr">
        <is>
          <t>4+/5 green</t>
        </is>
      </c>
      <c r="P99" s="15" t="inlineStr">
        <is>
          <t>4 of 5 green, time machine green, rank #13, 8.33% of the $7,980.85 free cash split 12 ways</t>
        </is>
      </c>
      <c r="Q99" s="12" t="n">
        <v>4</v>
      </c>
      <c r="R99" s="6" t="inlineStr">
        <is>
          <t>ok</t>
        </is>
      </c>
      <c r="S99" s="18" t="n">
        <v>0.667</v>
      </c>
      <c r="T99" s="12" t="n">
        <v>78</v>
      </c>
      <c r="U99" s="19" t="n">
        <v>0.0138</v>
      </c>
      <c r="V99" s="19" t="n">
        <v>-0.1395</v>
      </c>
      <c r="W99" s="12" t="n">
        <v>13</v>
      </c>
      <c r="X99" s="6" t="inlineStr">
        <is>
          <t>ok</t>
        </is>
      </c>
      <c r="Y99" s="19" t="n">
        <v>0.0001</v>
      </c>
      <c r="Z99" s="6" t="inlineStr">
        <is>
          <t>ok</t>
        </is>
      </c>
      <c r="AA99" s="12" t="n">
        <v>100</v>
      </c>
      <c r="AB99" s="15" t="n"/>
      <c r="AC99" s="6" t="inlineStr">
        <is>
          <t>ok</t>
        </is>
      </c>
      <c r="AD99" s="6" t="inlineStr">
        <is>
          <t>up</t>
        </is>
      </c>
      <c r="AE99" s="17" t="n">
        <v>47.9373</v>
      </c>
      <c r="AF99" s="17" t="n">
        <v>45.7066</v>
      </c>
      <c r="AG99" s="17" t="n">
        <v>50.1679</v>
      </c>
      <c r="AH99" s="20" t="n">
        <v>46331</v>
      </c>
      <c r="AI99" s="18" t="n">
        <v>0.55</v>
      </c>
      <c r="AJ99" s="6" t="inlineStr">
        <is>
          <t>watch</t>
        </is>
      </c>
      <c r="AK99" s="12" t="n">
        <v>9</v>
      </c>
      <c r="AL99" s="15" t="inlineStr">
        <is>
          <t>Equinor Q3 2026 Earnings Call Transcript</t>
        </is>
      </c>
      <c r="AM99" s="17" t="n">
        <v>47.04</v>
      </c>
      <c r="AN99" s="19" t="n">
        <v>-0.0129</v>
      </c>
      <c r="AO99" s="17" t="n">
        <v>99368.08</v>
      </c>
      <c r="AP99" s="17" t="n">
        <v>7980.85</v>
      </c>
      <c r="AQ99" s="19" t="n">
        <v>0.0833</v>
      </c>
      <c r="AR99" s="16" t="n"/>
      <c r="AS99" s="17" t="n"/>
      <c r="AT99" s="19" t="n"/>
      <c r="AU99" s="6" t="inlineStr">
        <is>
          <t>paper</t>
        </is>
      </c>
      <c r="AV99" s="6" t="inlineStr">
        <is>
          <t>e5e7881d-f385-4d1d-8fa7-1603b6afc37d</t>
        </is>
      </c>
      <c r="AW99" s="6" t="inlineStr">
        <is>
          <t>tdagent-buy-EQNR-1793287010714</t>
        </is>
      </c>
      <c r="AX99" s="13" t="n">
        <v>46324.63668981481</v>
      </c>
      <c r="AY99" s="13" t="n">
        <v>46324.63672453703</v>
      </c>
      <c r="AZ99" s="13" t="n">
        <v>46324.63631944444</v>
      </c>
      <c r="BA99" s="6" t="n"/>
    </row>
    <row r="100">
      <c r="A100" s="12" t="n">
        <v>99</v>
      </c>
      <c r="B100" s="13" t="n">
        <v>46324.67836805555</v>
      </c>
      <c r="C100" s="13" t="n">
        <v>46324.47003472222</v>
      </c>
      <c r="D100" s="13" t="n">
        <v>46324.63670138889</v>
      </c>
      <c r="E100" s="14" t="inlineStr">
        <is>
          <t>BUY</t>
        </is>
      </c>
      <c r="F100" s="6" t="inlineStr">
        <is>
          <t>LIN</t>
        </is>
      </c>
      <c r="G100" s="15" t="inlineStr">
        <is>
          <t>Linde plc Ordinary Shares</t>
        </is>
      </c>
      <c r="H100" s="6" t="inlineStr">
        <is>
          <t>NASDAQ</t>
        </is>
      </c>
      <c r="I100" s="6" t="inlineStr">
        <is>
          <t>filled</t>
        </is>
      </c>
      <c r="J100" s="16" t="n">
        <v>1.325708929</v>
      </c>
      <c r="K100" s="17" t="n">
        <v>501.46</v>
      </c>
      <c r="L100" s="17">
        <f>IF(AND(ISNUMBER(J100),ISNUMBER(K100)),J100*K100,"")</f>
        <v/>
      </c>
      <c r="M100" s="17" t="n">
        <v>664.8</v>
      </c>
      <c r="N100" s="16" t="n"/>
      <c r="O100" s="6" t="inlineStr">
        <is>
          <t>4+/5 green</t>
        </is>
      </c>
      <c r="P100" s="15" t="inlineStr">
        <is>
          <t>4 of 5 green, time machine green, rank #14, 8.33% of the $7,980.85 free cash split 12 ways</t>
        </is>
      </c>
      <c r="Q100" s="12" t="n">
        <v>4</v>
      </c>
      <c r="R100" s="6" t="inlineStr">
        <is>
          <t>ok</t>
        </is>
      </c>
      <c r="S100" s="18" t="n">
        <v>0.635</v>
      </c>
      <c r="T100" s="12" t="n">
        <v>52</v>
      </c>
      <c r="U100" s="19" t="n">
        <v>0.0104</v>
      </c>
      <c r="V100" s="19" t="n">
        <v>-0.1395</v>
      </c>
      <c r="W100" s="12" t="n">
        <v>14</v>
      </c>
      <c r="X100" s="6" t="inlineStr">
        <is>
          <t>ok</t>
        </is>
      </c>
      <c r="Y100" s="19" t="n">
        <v>0.0031</v>
      </c>
      <c r="Z100" s="6" t="inlineStr">
        <is>
          <t>ok</t>
        </is>
      </c>
      <c r="AA100" s="12" t="n">
        <v>100</v>
      </c>
      <c r="AB100" s="15" t="n"/>
      <c r="AC100" s="6" t="inlineStr">
        <is>
          <t>ok</t>
        </is>
      </c>
      <c r="AD100" s="6" t="inlineStr">
        <is>
          <t>up</t>
        </is>
      </c>
      <c r="AE100" s="17" t="n">
        <v>505.5059</v>
      </c>
      <c r="AF100" s="17" t="n">
        <v>495.3912</v>
      </c>
      <c r="AG100" s="17" t="n">
        <v>515.6206</v>
      </c>
      <c r="AH100" s="20" t="n">
        <v>46331</v>
      </c>
      <c r="AI100" s="18" t="n">
        <v>0.5600000000000001</v>
      </c>
      <c r="AJ100" s="6" t="inlineStr">
        <is>
          <t>watch</t>
        </is>
      </c>
      <c r="AK100" s="12" t="n">
        <v>7</v>
      </c>
      <c r="AL100" s="15" t="inlineStr">
        <is>
          <t>Linde Q3 2026 Earnings Call Transcript</t>
        </is>
      </c>
      <c r="AM100" s="17" t="n">
        <v>501.46</v>
      </c>
      <c r="AN100" s="19" t="n">
        <v>-0.013</v>
      </c>
      <c r="AO100" s="17" t="n">
        <v>99368.08</v>
      </c>
      <c r="AP100" s="17" t="n">
        <v>7980.85</v>
      </c>
      <c r="AQ100" s="19" t="n">
        <v>0.0833</v>
      </c>
      <c r="AR100" s="16" t="n"/>
      <c r="AS100" s="17" t="n"/>
      <c r="AT100" s="19" t="n"/>
      <c r="AU100" s="6" t="inlineStr">
        <is>
          <t>paper</t>
        </is>
      </c>
      <c r="AV100" s="6" t="inlineStr">
        <is>
          <t>6378bfbf-8394-4536-9bf4-aabfe70b3e4f</t>
        </is>
      </c>
      <c r="AW100" s="6" t="inlineStr">
        <is>
          <t>tdagent-buy-LIN-1793287010962</t>
        </is>
      </c>
      <c r="AX100" s="13" t="n">
        <v>46324.63668981481</v>
      </c>
      <c r="AY100" s="13" t="n">
        <v>46324.63670138889</v>
      </c>
      <c r="AZ100" s="13" t="n">
        <v>46324.63631944444</v>
      </c>
      <c r="BA100" s="6" t="n"/>
    </row>
    <row r="101">
      <c r="A101" s="12" t="n">
        <v>100</v>
      </c>
      <c r="B101" s="13" t="n">
        <v>46324.68523148148</v>
      </c>
      <c r="C101" s="13" t="n">
        <v>46324.47689814815</v>
      </c>
      <c r="D101" s="13" t="n">
        <v>46324.64356481482</v>
      </c>
      <c r="E101" s="21" t="inlineStr">
        <is>
          <t>SELL</t>
        </is>
      </c>
      <c r="F101" s="6" t="inlineStr">
        <is>
          <t>LLY</t>
        </is>
      </c>
      <c r="G101" s="15" t="inlineStr">
        <is>
          <t>LLY</t>
        </is>
      </c>
      <c r="H101" s="6" t="inlineStr">
        <is>
          <t>NYSE</t>
        </is>
      </c>
      <c r="I101" s="6" t="inlineStr">
        <is>
          <t>filled</t>
        </is>
      </c>
      <c r="J101" s="16" t="n">
        <v>6.035195373</v>
      </c>
      <c r="K101" s="17" t="n">
        <v>1370.33</v>
      </c>
      <c r="L101" s="17">
        <f>IF(AND(ISNUMBER(J101),ISNUMBER(K101)),J101*K101,"")</f>
        <v/>
      </c>
      <c r="M101" s="17" t="n"/>
      <c r="N101" s="16" t="n">
        <v>6.035195373</v>
      </c>
      <c r="O101" s="6" t="inlineStr">
        <is>
          <t>trailing stop</t>
        </is>
      </c>
      <c r="P101" s="15" t="inlineStr">
        <is>
          <t>High risk sell line (1%): highest $1,398.38, fell 2.0% to $1,371.12 (line $1,384.40), -0.9% from the buy price</t>
        </is>
      </c>
      <c r="Q101" s="12" t="n">
        <v>3</v>
      </c>
      <c r="R101" s="6" t="inlineStr">
        <is>
          <t>ok</t>
        </is>
      </c>
      <c r="S101" s="18" t="n">
        <v>0.574</v>
      </c>
      <c r="T101" s="12" t="n">
        <v>68</v>
      </c>
      <c r="U101" s="19" t="n">
        <v>0.0075</v>
      </c>
      <c r="V101" s="19" t="n">
        <v>0.2893</v>
      </c>
      <c r="W101" s="12" t="n"/>
      <c r="X101" s="6" t="inlineStr">
        <is>
          <t>ok</t>
        </is>
      </c>
      <c r="Y101" s="19" t="n">
        <v>0.0027</v>
      </c>
      <c r="Z101" s="6" t="inlineStr">
        <is>
          <t>ok</t>
        </is>
      </c>
      <c r="AA101" s="12" t="n">
        <v>100</v>
      </c>
      <c r="AB101" s="15" t="n"/>
      <c r="AC101" s="6" t="inlineStr">
        <is>
          <t>watch</t>
        </is>
      </c>
      <c r="AD101" s="6" t="inlineStr">
        <is>
          <t>flat</t>
        </is>
      </c>
      <c r="AE101" s="17" t="n">
        <v>1372.57</v>
      </c>
      <c r="AF101" s="17" t="n">
        <v>1314.0104</v>
      </c>
      <c r="AG101" s="17" t="n">
        <v>1431.1296</v>
      </c>
      <c r="AH101" s="20" t="n">
        <v>46331</v>
      </c>
      <c r="AI101" s="18" t="n">
        <v>0.5</v>
      </c>
      <c r="AJ101" s="6" t="inlineStr">
        <is>
          <t>alert</t>
        </is>
      </c>
      <c r="AK101" s="12" t="n">
        <v>10</v>
      </c>
      <c r="AL101" s="15" t="inlineStr">
        <is>
          <t>Eli Lilly Q3 2026 Earnings Call Transcript</t>
        </is>
      </c>
      <c r="AM101" s="17" t="n">
        <v>1372.57</v>
      </c>
      <c r="AN101" s="19" t="n">
        <v>0.0635</v>
      </c>
      <c r="AO101" s="17" t="n">
        <v>99412.24000000001</v>
      </c>
      <c r="AP101" s="17" t="n">
        <v>3.37</v>
      </c>
      <c r="AQ101" s="19" t="n">
        <v>0.0833</v>
      </c>
      <c r="AR101" s="16" t="n">
        <v>6.035195373</v>
      </c>
      <c r="AS101" s="17" t="n">
        <v>1382.881495</v>
      </c>
      <c r="AT101" s="19" t="n">
        <v>-0.008500000000000001</v>
      </c>
      <c r="AU101" s="6" t="inlineStr">
        <is>
          <t>paper</t>
        </is>
      </c>
      <c r="AV101" s="6" t="inlineStr">
        <is>
          <t>5d4ca2e7-bc86-484f-9f55-e93b264f00d5</t>
        </is>
      </c>
      <c r="AW101" s="6" t="inlineStr">
        <is>
          <t>tdagent-sell-LLY-1793287603579</t>
        </is>
      </c>
      <c r="AX101" s="13" t="n">
        <v>46324.64355324074</v>
      </c>
      <c r="AY101" s="13" t="n">
        <v>46324.64356481482</v>
      </c>
      <c r="AZ101" s="13" t="n">
        <v>46324.64244212963</v>
      </c>
      <c r="BA101" s="6" t="n"/>
    </row>
    <row r="102">
      <c r="A102" s="12" t="n">
        <v>101</v>
      </c>
      <c r="B102" s="13" t="n">
        <v>46324.68523148148</v>
      </c>
      <c r="C102" s="13" t="n">
        <v>46324.47689814815</v>
      </c>
      <c r="D102" s="13" t="n">
        <v>46324.64356481482</v>
      </c>
      <c r="E102" s="21" t="inlineStr">
        <is>
          <t>SELL</t>
        </is>
      </c>
      <c r="F102" s="6" t="inlineStr">
        <is>
          <t>WTW</t>
        </is>
      </c>
      <c r="G102" s="15" t="inlineStr">
        <is>
          <t>WTW</t>
        </is>
      </c>
      <c r="H102" s="6" t="inlineStr">
        <is>
          <t>NASDAQ</t>
        </is>
      </c>
      <c r="I102" s="6" t="inlineStr">
        <is>
          <t>filled</t>
        </is>
      </c>
      <c r="J102" s="16" t="n">
        <v>26.078334421</v>
      </c>
      <c r="K102" s="17" t="n">
        <v>313.76</v>
      </c>
      <c r="L102" s="17">
        <f>IF(AND(ISNUMBER(J102),ISNUMBER(K102)),J102*K102,"")</f>
        <v/>
      </c>
      <c r="M102" s="17" t="n"/>
      <c r="N102" s="16" t="n">
        <v>26.078334421</v>
      </c>
      <c r="O102" s="6" t="inlineStr">
        <is>
          <t>trailing stop</t>
        </is>
      </c>
      <c r="P102" s="15" t="inlineStr">
        <is>
          <t>High risk sell line (1%): highest $325.01, fell 3.4% to $314.04 (line $321.76), -1.9% from the buy price</t>
        </is>
      </c>
      <c r="Q102" s="12" t="n">
        <v>4</v>
      </c>
      <c r="R102" s="6" t="inlineStr">
        <is>
          <t>ok</t>
        </is>
      </c>
      <c r="S102" s="18" t="n">
        <v>0.621</v>
      </c>
      <c r="T102" s="12" t="n">
        <v>29</v>
      </c>
      <c r="U102" s="19" t="n">
        <v>0.0212</v>
      </c>
      <c r="V102" s="19" t="n">
        <v>0.2893</v>
      </c>
      <c r="W102" s="12" t="n"/>
      <c r="X102" s="6" t="inlineStr">
        <is>
          <t>ok</t>
        </is>
      </c>
      <c r="Y102" s="19" t="n">
        <v>0.0001</v>
      </c>
      <c r="Z102" s="6" t="inlineStr">
        <is>
          <t>ok</t>
        </is>
      </c>
      <c r="AA102" s="12" t="n">
        <v>100</v>
      </c>
      <c r="AB102" s="15" t="n"/>
      <c r="AC102" s="6" t="inlineStr">
        <is>
          <t>ok</t>
        </is>
      </c>
      <c r="AD102" s="6" t="inlineStr">
        <is>
          <t>up</t>
        </is>
      </c>
      <c r="AE102" s="17" t="n">
        <v>318.7003</v>
      </c>
      <c r="AF102" s="17" t="n">
        <v>307.3995</v>
      </c>
      <c r="AG102" s="17" t="n">
        <v>330.0012</v>
      </c>
      <c r="AH102" s="20" t="n">
        <v>46331</v>
      </c>
      <c r="AI102" s="18" t="n">
        <v>0.53</v>
      </c>
      <c r="AJ102" s="6" t="inlineStr">
        <is>
          <t>watch</t>
        </is>
      </c>
      <c r="AK102" s="12" t="n">
        <v>5</v>
      </c>
      <c r="AL102" s="15" t="inlineStr">
        <is>
          <t>Willis Towers Watson Q3 2026 Earnings Call Transcript</t>
        </is>
      </c>
      <c r="AM102" s="17" t="n">
        <v>314.18</v>
      </c>
      <c r="AN102" s="19" t="n">
        <v>-0.0232</v>
      </c>
      <c r="AO102" s="17" t="n">
        <v>99412.24000000001</v>
      </c>
      <c r="AP102" s="17" t="n">
        <v>3.37</v>
      </c>
      <c r="AQ102" s="19" t="n">
        <v>0.0833</v>
      </c>
      <c r="AR102" s="16" t="n">
        <v>26.078334421</v>
      </c>
      <c r="AS102" s="17" t="n">
        <v>320.034243</v>
      </c>
      <c r="AT102" s="19" t="n">
        <v>-0.0187</v>
      </c>
      <c r="AU102" s="6" t="inlineStr">
        <is>
          <t>paper</t>
        </is>
      </c>
      <c r="AV102" s="6" t="inlineStr">
        <is>
          <t>7f4b08a7-ccda-4caa-ad4f-79824ad160e8</t>
        </is>
      </c>
      <c r="AW102" s="6" t="inlineStr">
        <is>
          <t>tdagent-sell-WTW-1793287604105</t>
        </is>
      </c>
      <c r="AX102" s="13" t="n">
        <v>46324.64356481482</v>
      </c>
      <c r="AY102" s="13" t="n">
        <v>46324.64356481482</v>
      </c>
      <c r="AZ102" s="13" t="n">
        <v>46324.64244212963</v>
      </c>
      <c r="BA102" s="6" t="n"/>
    </row>
    <row r="103">
      <c r="A103" s="12" t="n">
        <v>102</v>
      </c>
      <c r="B103" s="13" t="n">
        <v>46324.68998842593</v>
      </c>
      <c r="C103" s="13" t="n">
        <v>46324.48165509259</v>
      </c>
      <c r="D103" s="13" t="n">
        <v>46324.64832175926</v>
      </c>
      <c r="E103" s="14" t="inlineStr">
        <is>
          <t>BUY</t>
        </is>
      </c>
      <c r="F103" s="6" t="inlineStr">
        <is>
          <t>SO</t>
        </is>
      </c>
      <c r="G103" s="15" t="inlineStr">
        <is>
          <t>The Southern Company</t>
        </is>
      </c>
      <c r="H103" s="6" t="inlineStr">
        <is>
          <t>NYSE</t>
        </is>
      </c>
      <c r="I103" s="6" t="inlineStr">
        <is>
          <t>filled</t>
        </is>
      </c>
      <c r="J103" s="16" t="n">
        <v>14.744111003</v>
      </c>
      <c r="K103" s="17" t="n">
        <v>92.97</v>
      </c>
      <c r="L103" s="17">
        <f>IF(AND(ISNUMBER(J103),ISNUMBER(K103)),J103*K103,"")</f>
        <v/>
      </c>
      <c r="M103" s="17" t="n">
        <v>1370.77</v>
      </c>
      <c r="N103" s="16" t="n"/>
      <c r="O103" s="6" t="inlineStr">
        <is>
          <t>4+/5 green</t>
        </is>
      </c>
      <c r="P103" s="15" t="inlineStr">
        <is>
          <t>5 of 5 green, time machine green, rank #4, 8.33% of the $16,455.92 free cash split 12 ways</t>
        </is>
      </c>
      <c r="Q103" s="12" t="n">
        <v>5</v>
      </c>
      <c r="R103" s="6" t="inlineStr">
        <is>
          <t>ok</t>
        </is>
      </c>
      <c r="S103" s="18" t="n">
        <v>0.55</v>
      </c>
      <c r="T103" s="12" t="n">
        <v>20</v>
      </c>
      <c r="U103" s="19" t="n">
        <v>0.0009</v>
      </c>
      <c r="V103" s="19" t="n">
        <v>0.2893</v>
      </c>
      <c r="W103" s="12" t="n">
        <v>4</v>
      </c>
      <c r="X103" s="6" t="inlineStr">
        <is>
          <t>ok</t>
        </is>
      </c>
      <c r="Y103" s="19" t="n">
        <v>0.0002</v>
      </c>
      <c r="Z103" s="6" t="inlineStr">
        <is>
          <t>ok</t>
        </is>
      </c>
      <c r="AA103" s="12" t="n">
        <v>80</v>
      </c>
      <c r="AB103" s="15" t="inlineStr">
        <is>
          <t>One day (+3.8%) did 89% of the 10-day move. The trend rests on a single jump.</t>
        </is>
      </c>
      <c r="AC103" s="6" t="inlineStr">
        <is>
          <t>ok</t>
        </is>
      </c>
      <c r="AD103" s="6" t="inlineStr">
        <is>
          <t>up</t>
        </is>
      </c>
      <c r="AE103" s="17" t="n">
        <v>93.8866</v>
      </c>
      <c r="AF103" s="17" t="n">
        <v>91.645</v>
      </c>
      <c r="AG103" s="17" t="n">
        <v>96.1283</v>
      </c>
      <c r="AH103" s="20" t="n">
        <v>46331</v>
      </c>
      <c r="AI103" s="18" t="n">
        <v>0.5600000000000001</v>
      </c>
      <c r="AJ103" s="6" t="inlineStr">
        <is>
          <t>ok</t>
        </is>
      </c>
      <c r="AK103" s="12" t="n">
        <v>0</v>
      </c>
      <c r="AL103" s="15" t="n"/>
      <c r="AM103" s="17" t="n">
        <v>92.98999999999999</v>
      </c>
      <c r="AN103" s="19" t="n">
        <v>0.0155</v>
      </c>
      <c r="AO103" s="17" t="n">
        <v>99419.13</v>
      </c>
      <c r="AP103" s="17" t="n">
        <v>16455.92</v>
      </c>
      <c r="AQ103" s="19" t="n">
        <v>0.0833</v>
      </c>
      <c r="AR103" s="16" t="n"/>
      <c r="AS103" s="17" t="n"/>
      <c r="AT103" s="19" t="n"/>
      <c r="AU103" s="6" t="inlineStr">
        <is>
          <t>paper</t>
        </is>
      </c>
      <c r="AV103" s="6" t="inlineStr">
        <is>
          <t>8e339eed-87fb-4c60-bd50-cbc4d5c766d1</t>
        </is>
      </c>
      <c r="AW103" s="6" t="inlineStr">
        <is>
          <t>tdagent-buy-SO-1793288015546</t>
        </is>
      </c>
      <c r="AX103" s="13" t="n">
        <v>46324.64832175926</v>
      </c>
      <c r="AY103" s="13" t="n">
        <v>46324.64832175926</v>
      </c>
      <c r="AZ103" s="13" t="n">
        <v>46324.64809027778</v>
      </c>
      <c r="BA103" s="6" t="n"/>
    </row>
    <row r="104">
      <c r="A104" s="12" t="n">
        <v>103</v>
      </c>
      <c r="B104" s="13" t="n">
        <v>46324.69001157407</v>
      </c>
      <c r="C104" s="13" t="n">
        <v>46324.48167824074</v>
      </c>
      <c r="D104" s="13" t="n">
        <v>46324.64834490741</v>
      </c>
      <c r="E104" s="14" t="inlineStr">
        <is>
          <t>BUY</t>
        </is>
      </c>
      <c r="F104" s="6" t="inlineStr">
        <is>
          <t>EQT</t>
        </is>
      </c>
      <c r="G104" s="15" t="inlineStr">
        <is>
          <t>EQT CORP</t>
        </is>
      </c>
      <c r="H104" s="6" t="inlineStr">
        <is>
          <t>NYSE</t>
        </is>
      </c>
      <c r="I104" s="6" t="inlineStr">
        <is>
          <t>filled</t>
        </is>
      </c>
      <c r="J104" s="16" t="n">
        <v>24.950127411</v>
      </c>
      <c r="K104" s="17" t="n">
        <v>54.94</v>
      </c>
      <c r="L104" s="17">
        <f>IF(AND(ISNUMBER(J104),ISNUMBER(K104)),J104*K104,"")</f>
        <v/>
      </c>
      <c r="M104" s="17" t="n">
        <v>1370.77</v>
      </c>
      <c r="N104" s="16" t="n"/>
      <c r="O104" s="6" t="inlineStr">
        <is>
          <t>4+/5 green</t>
        </is>
      </c>
      <c r="P104" s="15" t="inlineStr">
        <is>
          <t>4 of 5 green, time machine green, rank #5, 8.33% of the $16,455.92 free cash split 12 ways</t>
        </is>
      </c>
      <c r="Q104" s="12" t="n">
        <v>4</v>
      </c>
      <c r="R104" s="6" t="inlineStr">
        <is>
          <t>ok</t>
        </is>
      </c>
      <c r="S104" s="18" t="n">
        <v>0.552</v>
      </c>
      <c r="T104" s="12" t="n">
        <v>29</v>
      </c>
      <c r="U104" s="19" t="n">
        <v>0.0017</v>
      </c>
      <c r="V104" s="19" t="n">
        <v>0.2893</v>
      </c>
      <c r="W104" s="12" t="n">
        <v>5</v>
      </c>
      <c r="X104" s="6" t="inlineStr">
        <is>
          <t>ok</t>
        </is>
      </c>
      <c r="Y104" s="19" t="n">
        <v>0.0011</v>
      </c>
      <c r="Z104" s="6" t="inlineStr">
        <is>
          <t>ok</t>
        </is>
      </c>
      <c r="AA104" s="12" t="n">
        <v>90</v>
      </c>
      <c r="AB104" s="15" t="inlineStr">
        <is>
          <t>Price gapped 5.1% at an open in the last week.</t>
        </is>
      </c>
      <c r="AC104" s="6" t="inlineStr">
        <is>
          <t>ok</t>
        </is>
      </c>
      <c r="AD104" s="6" t="inlineStr">
        <is>
          <t>up</t>
        </is>
      </c>
      <c r="AE104" s="17" t="n">
        <v>55.7426</v>
      </c>
      <c r="AF104" s="17" t="n">
        <v>53.7237</v>
      </c>
      <c r="AG104" s="17" t="n">
        <v>57.7615</v>
      </c>
      <c r="AH104" s="20" t="n">
        <v>46331</v>
      </c>
      <c r="AI104" s="18" t="n">
        <v>0.54</v>
      </c>
      <c r="AJ104" s="6" t="inlineStr">
        <is>
          <t>watch</t>
        </is>
      </c>
      <c r="AK104" s="12" t="n">
        <v>6</v>
      </c>
      <c r="AL104" s="15" t="inlineStr">
        <is>
          <t>UBS Maintains Buy on EQT, Lowers Price Target to $75</t>
        </is>
      </c>
      <c r="AM104" s="17" t="n">
        <v>54.935</v>
      </c>
      <c r="AN104" s="19" t="n">
        <v>-0.023</v>
      </c>
      <c r="AO104" s="17" t="n">
        <v>99419.13</v>
      </c>
      <c r="AP104" s="17" t="n">
        <v>16455.92</v>
      </c>
      <c r="AQ104" s="19" t="n">
        <v>0.0833</v>
      </c>
      <c r="AR104" s="16" t="n"/>
      <c r="AS104" s="17" t="n"/>
      <c r="AT104" s="19" t="n"/>
      <c r="AU104" s="6" t="inlineStr">
        <is>
          <t>paper</t>
        </is>
      </c>
      <c r="AV104" s="6" t="inlineStr">
        <is>
          <t>c8464e45-bd19-4274-bffc-d557838e3703</t>
        </is>
      </c>
      <c r="AW104" s="6" t="inlineStr">
        <is>
          <t>tdagent-buy-EQT-1793288015588</t>
        </is>
      </c>
      <c r="AX104" s="13" t="n">
        <v>46324.64832175926</v>
      </c>
      <c r="AY104" s="13" t="n">
        <v>46324.64834490741</v>
      </c>
      <c r="AZ104" s="13" t="n">
        <v>46324.64809027778</v>
      </c>
      <c r="BA104" s="6" t="n"/>
    </row>
    <row r="105">
      <c r="A105" s="12" t="n">
        <v>104</v>
      </c>
      <c r="B105" s="13" t="n">
        <v>46324.71079861111</v>
      </c>
      <c r="C105" s="13" t="n">
        <v>46324.50246527778</v>
      </c>
      <c r="D105" s="13" t="n">
        <v>46324.66913194444</v>
      </c>
      <c r="E105" s="21" t="inlineStr">
        <is>
          <t>SELL</t>
        </is>
      </c>
      <c r="F105" s="6" t="inlineStr">
        <is>
          <t>XOM</t>
        </is>
      </c>
      <c r="G105" s="15" t="inlineStr">
        <is>
          <t>XOM</t>
        </is>
      </c>
      <c r="H105" s="6" t="inlineStr">
        <is>
          <t>NYSE</t>
        </is>
      </c>
      <c r="I105" s="6" t="inlineStr">
        <is>
          <t>filled</t>
        </is>
      </c>
      <c r="J105" s="16" t="n">
        <v>1.829160246</v>
      </c>
      <c r="K105" s="17" t="n">
        <v>182.01</v>
      </c>
      <c r="L105" s="17">
        <f>IF(AND(ISNUMBER(J105),ISNUMBER(K105)),J105*K105,"")</f>
        <v/>
      </c>
      <c r="M105" s="17" t="n"/>
      <c r="N105" s="16" t="n">
        <v>1.829160246</v>
      </c>
      <c r="O105" s="6" t="inlineStr">
        <is>
          <t>3 green: sell half</t>
        </is>
      </c>
      <c r="P105" s="15" t="inlineStr">
        <is>
          <t>3 of 5 green: start selling (half)</t>
        </is>
      </c>
      <c r="Q105" s="12" t="n">
        <v>3</v>
      </c>
      <c r="R105" s="6" t="inlineStr">
        <is>
          <t>ok</t>
        </is>
      </c>
      <c r="S105" s="18" t="n">
        <v>0.624</v>
      </c>
      <c r="T105" s="12" t="n">
        <v>93</v>
      </c>
      <c r="U105" s="19" t="n">
        <v>0.0119</v>
      </c>
      <c r="V105" s="19" t="n">
        <v>0.2893</v>
      </c>
      <c r="W105" s="12" t="n"/>
      <c r="X105" s="6" t="inlineStr">
        <is>
          <t>ok</t>
        </is>
      </c>
      <c r="Y105" s="19" t="n">
        <v>0.0009</v>
      </c>
      <c r="Z105" s="6" t="inlineStr">
        <is>
          <t>ok</t>
        </is>
      </c>
      <c r="AA105" s="12" t="n">
        <v>100</v>
      </c>
      <c r="AB105" s="15" t="n"/>
      <c r="AC105" s="6" t="inlineStr">
        <is>
          <t>watch</t>
        </is>
      </c>
      <c r="AD105" s="6" t="inlineStr">
        <is>
          <t>flat</t>
        </is>
      </c>
      <c r="AE105" s="17" t="n">
        <v>182.12</v>
      </c>
      <c r="AF105" s="17" t="n">
        <v>175.9674</v>
      </c>
      <c r="AG105" s="17" t="n">
        <v>188.2726</v>
      </c>
      <c r="AH105" s="20" t="n">
        <v>46331</v>
      </c>
      <c r="AI105" s="18" t="n">
        <v>0.5</v>
      </c>
      <c r="AJ105" s="6" t="inlineStr">
        <is>
          <t>watch</t>
        </is>
      </c>
      <c r="AK105" s="12" t="n">
        <v>7</v>
      </c>
      <c r="AL105" s="15" t="inlineStr">
        <is>
          <t>Exxon Mobil and Citgo Petroleum Acquire Venezuelan Crude Oil Shipment</t>
        </is>
      </c>
      <c r="AM105" s="17" t="n">
        <v>182.07</v>
      </c>
      <c r="AN105" s="19" t="n">
        <v>0.0002</v>
      </c>
      <c r="AO105" s="17" t="n">
        <v>99360.92</v>
      </c>
      <c r="AP105" s="17" t="n">
        <v>13714.4</v>
      </c>
      <c r="AQ105" s="19" t="n">
        <v>0.0833</v>
      </c>
      <c r="AR105" s="16" t="n">
        <v>3.658320493</v>
      </c>
      <c r="AS105" s="17" t="n">
        <v>181.72</v>
      </c>
      <c r="AT105" s="19" t="n">
        <v>0.0018</v>
      </c>
      <c r="AU105" s="6" t="inlineStr">
        <is>
          <t>paper</t>
        </is>
      </c>
      <c r="AV105" s="6" t="inlineStr">
        <is>
          <t>d1779449-01e2-4e2c-ab7c-32190e1cec52</t>
        </is>
      </c>
      <c r="AW105" s="6" t="inlineStr">
        <is>
          <t>tdagent-sell-XOM-1793289812720</t>
        </is>
      </c>
      <c r="AX105" s="13" t="n">
        <v>46324.66912037037</v>
      </c>
      <c r="AY105" s="13" t="n">
        <v>46324.66913194444</v>
      </c>
      <c r="AZ105" s="13" t="n">
        <v>46324.66893518518</v>
      </c>
      <c r="BA105" s="6" t="n"/>
    </row>
    <row r="106">
      <c r="A106" s="12" t="n">
        <v>105</v>
      </c>
      <c r="B106" s="13" t="n">
        <v>46324.7149074074</v>
      </c>
      <c r="C106" s="13" t="n">
        <v>46324.50657407408</v>
      </c>
      <c r="D106" s="13" t="n">
        <v>46324.67324074074</v>
      </c>
      <c r="E106" s="14" t="inlineStr">
        <is>
          <t>BUY</t>
        </is>
      </c>
      <c r="F106" s="6" t="inlineStr">
        <is>
          <t>EBAY</t>
        </is>
      </c>
      <c r="G106" s="15" t="inlineStr">
        <is>
          <t>eBay Inc. Common Stock</t>
        </is>
      </c>
      <c r="H106" s="6" t="inlineStr">
        <is>
          <t>NASDAQ</t>
        </is>
      </c>
      <c r="I106" s="6" t="inlineStr">
        <is>
          <t>filled</t>
        </is>
      </c>
      <c r="J106" s="16" t="n">
        <v>9.638632618999999</v>
      </c>
      <c r="K106" s="17" t="n">
        <v>121.4</v>
      </c>
      <c r="L106" s="17">
        <f>IF(AND(ISNUMBER(J106),ISNUMBER(K106)),J106*K106,"")</f>
        <v/>
      </c>
      <c r="M106" s="17" t="n">
        <v>1170.14</v>
      </c>
      <c r="N106" s="16" t="n"/>
      <c r="O106" s="6" t="inlineStr">
        <is>
          <t>4+/5 green</t>
        </is>
      </c>
      <c r="P106" s="15" t="inlineStr">
        <is>
          <t>4 of 5 green, time machine green, rank #3, 8.33% of the $14,047.33 free cash split 12 ways</t>
        </is>
      </c>
      <c r="Q106" s="12" t="n">
        <v>4</v>
      </c>
      <c r="R106" s="6" t="inlineStr">
        <is>
          <t>ok</t>
        </is>
      </c>
      <c r="S106" s="18" t="n">
        <v>0.55</v>
      </c>
      <c r="T106" s="12" t="n">
        <v>40</v>
      </c>
      <c r="U106" s="19" t="n">
        <v>0.005500000000000001</v>
      </c>
      <c r="V106" s="19" t="n">
        <v>0.2893</v>
      </c>
      <c r="W106" s="12" t="n">
        <v>3</v>
      </c>
      <c r="X106" s="6" t="inlineStr">
        <is>
          <t>ok</t>
        </is>
      </c>
      <c r="Y106" s="19" t="n">
        <v>0.0011</v>
      </c>
      <c r="Z106" s="6" t="inlineStr">
        <is>
          <t>ok</t>
        </is>
      </c>
      <c r="AA106" s="12" t="n">
        <v>100</v>
      </c>
      <c r="AB106" s="15" t="n"/>
      <c r="AC106" s="6" t="inlineStr">
        <is>
          <t>ok</t>
        </is>
      </c>
      <c r="AD106" s="6" t="inlineStr">
        <is>
          <t>up</t>
        </is>
      </c>
      <c r="AE106" s="17" t="n">
        <v>123.4909</v>
      </c>
      <c r="AF106" s="17" t="n">
        <v>118.4136</v>
      </c>
      <c r="AG106" s="17" t="n">
        <v>128.5682</v>
      </c>
      <c r="AH106" s="20" t="n">
        <v>46331</v>
      </c>
      <c r="AI106" s="18" t="n">
        <v>0.55</v>
      </c>
      <c r="AJ106" s="6" t="inlineStr">
        <is>
          <t>watch</t>
        </is>
      </c>
      <c r="AK106" s="12" t="n">
        <v>10</v>
      </c>
      <c r="AL106" s="15" t="inlineStr">
        <is>
          <t>eBay Stock Nears 52-Week High on 2027 Growth Outlook</t>
        </is>
      </c>
      <c r="AM106" s="17" t="n">
        <v>121.46</v>
      </c>
      <c r="AN106" s="19" t="n">
        <v>0.0298</v>
      </c>
      <c r="AO106" s="17" t="n">
        <v>99391.81</v>
      </c>
      <c r="AP106" s="17" t="n">
        <v>14047.33</v>
      </c>
      <c r="AQ106" s="19" t="n">
        <v>0.0833</v>
      </c>
      <c r="AR106" s="16" t="n"/>
      <c r="AS106" s="17" t="n"/>
      <c r="AT106" s="19" t="n"/>
      <c r="AU106" s="6" t="inlineStr">
        <is>
          <t>paper</t>
        </is>
      </c>
      <c r="AV106" s="6" t="inlineStr">
        <is>
          <t>8f3a9ec6-8716-4391-8ca4-3f77ebea3507</t>
        </is>
      </c>
      <c r="AW106" s="6" t="inlineStr">
        <is>
          <t>tdagent-buy-EBAY-1793290168000</t>
        </is>
      </c>
      <c r="AX106" s="13" t="n">
        <v>46324.67324074074</v>
      </c>
      <c r="AY106" s="13" t="n">
        <v>46324.67324074074</v>
      </c>
      <c r="AZ106" s="13" t="n">
        <v>46324.67306712963</v>
      </c>
      <c r="BA106" s="6" t="n"/>
    </row>
    <row r="107">
      <c r="A107" s="12" t="n">
        <v>106</v>
      </c>
      <c r="B107" s="13" t="n">
        <v>46324.78903935185</v>
      </c>
      <c r="C107" s="13" t="n">
        <v>46324.58070601852</v>
      </c>
      <c r="D107" s="13" t="n">
        <v>46324.74737268518</v>
      </c>
      <c r="E107" s="21" t="inlineStr">
        <is>
          <t>SELL</t>
        </is>
      </c>
      <c r="F107" s="6" t="inlineStr">
        <is>
          <t>AVTR</t>
        </is>
      </c>
      <c r="G107" s="15" t="n"/>
      <c r="H107" s="6" t="n"/>
      <c r="I107" s="6" t="inlineStr">
        <is>
          <t>filled</t>
        </is>
      </c>
      <c r="J107" s="16" t="n">
        <v>40.314736203</v>
      </c>
      <c r="K107" s="17" t="n">
        <v>16.54</v>
      </c>
      <c r="L107" s="17">
        <f>IF(AND(ISNUMBER(J107),ISNUMBER(K107)),J107*K107,"")</f>
        <v/>
      </c>
      <c r="M107" s="17" t="n"/>
      <c r="N107" s="16" t="n">
        <v>40.314736203</v>
      </c>
      <c r="O107" s="6" t="inlineStr">
        <is>
          <t>stop-loss (Alpaca order)</t>
        </is>
      </c>
      <c r="P107" s="15" t="inlineStr">
        <is>
          <t>Alpaca stop order triggered at 16.55 (the stock's sell line)</t>
        </is>
      </c>
      <c r="Q107" s="12" t="n"/>
      <c r="R107" s="6" t="n"/>
      <c r="S107" s="18" t="n"/>
      <c r="T107" s="12" t="n"/>
      <c r="U107" s="19" t="n"/>
      <c r="V107" s="19" t="n"/>
      <c r="W107" s="12" t="n"/>
      <c r="X107" s="6" t="n"/>
      <c r="Y107" s="19" t="n"/>
      <c r="Z107" s="6" t="n"/>
      <c r="AA107" s="12" t="n"/>
      <c r="AB107" s="15" t="n"/>
      <c r="AC107" s="6" t="n"/>
      <c r="AD107" s="6" t="n"/>
      <c r="AE107" s="17" t="n"/>
      <c r="AF107" s="17" t="n"/>
      <c r="AG107" s="17" t="n"/>
      <c r="AH107" s="20" t="n"/>
      <c r="AI107" s="18" t="n"/>
      <c r="AJ107" s="6" t="n"/>
      <c r="AK107" s="12" t="n"/>
      <c r="AL107" s="15" t="n"/>
      <c r="AM107" s="17" t="n"/>
      <c r="AN107" s="19" t="n"/>
      <c r="AO107" s="17" t="n"/>
      <c r="AP107" s="17" t="n"/>
      <c r="AQ107" s="19" t="n"/>
      <c r="AR107" s="16" t="n"/>
      <c r="AS107" s="17" t="n"/>
      <c r="AT107" s="19" t="n"/>
      <c r="AU107" s="6" t="inlineStr">
        <is>
          <t>paper</t>
        </is>
      </c>
      <c r="AV107" s="6" t="inlineStr">
        <is>
          <t>c5898ad1-8ed5-4f96-859c-f303e2b03686</t>
        </is>
      </c>
      <c r="AW107" s="6" t="inlineStr">
        <is>
          <t>tdagent-stop-AVTR-1793291808809</t>
        </is>
      </c>
      <c r="AX107" s="13" t="n">
        <v>46324.69222222222</v>
      </c>
      <c r="AY107" s="13" t="n">
        <v>46324.74737268518</v>
      </c>
      <c r="AZ107" s="13" t="n"/>
      <c r="BA107" s="6" t="n"/>
    </row>
    <row r="108">
      <c r="A108" s="12" t="n">
        <v>107</v>
      </c>
      <c r="B108" s="13" t="n">
        <v>46324.75462962963</v>
      </c>
      <c r="C108" s="13" t="n">
        <v>46324.5462962963</v>
      </c>
      <c r="D108" s="13" t="n">
        <v>46324.71296296296</v>
      </c>
      <c r="E108" s="21" t="inlineStr">
        <is>
          <t>SELL</t>
        </is>
      </c>
      <c r="F108" s="6" t="inlineStr">
        <is>
          <t>ACN</t>
        </is>
      </c>
      <c r="G108" s="15" t="inlineStr">
        <is>
          <t>ACN</t>
        </is>
      </c>
      <c r="H108" s="6" t="inlineStr">
        <is>
          <t>NYSE</t>
        </is>
      </c>
      <c r="I108" s="6" t="inlineStr">
        <is>
          <t>filled</t>
        </is>
      </c>
      <c r="J108" s="16" t="n">
        <v>1.363168471</v>
      </c>
      <c r="K108" s="17" t="n">
        <v>245.55</v>
      </c>
      <c r="L108" s="17">
        <f>IF(AND(ISNUMBER(J108),ISNUMBER(K108)),J108*K108,"")</f>
        <v/>
      </c>
      <c r="M108" s="17" t="n"/>
      <c r="N108" s="16" t="n">
        <v>1.363168471</v>
      </c>
      <c r="O108" s="6" t="inlineStr">
        <is>
          <t>3 green: sell half</t>
        </is>
      </c>
      <c r="P108" s="15" t="inlineStr">
        <is>
          <t>3 of 5 green: start selling (half)</t>
        </is>
      </c>
      <c r="Q108" s="12" t="n">
        <v>3</v>
      </c>
      <c r="R108" s="6" t="inlineStr">
        <is>
          <t>ok</t>
        </is>
      </c>
      <c r="S108" s="18" t="n">
        <v>0.551</v>
      </c>
      <c r="T108" s="12" t="n">
        <v>49</v>
      </c>
      <c r="U108" s="19" t="n">
        <v>0.0072</v>
      </c>
      <c r="V108" s="19" t="n">
        <v>0.2893</v>
      </c>
      <c r="W108" s="12" t="n"/>
      <c r="X108" s="6" t="inlineStr">
        <is>
          <t>ok</t>
        </is>
      </c>
      <c r="Y108" s="19" t="n">
        <v>0.0014</v>
      </c>
      <c r="Z108" s="6" t="inlineStr">
        <is>
          <t>ok</t>
        </is>
      </c>
      <c r="AA108" s="12" t="n">
        <v>100</v>
      </c>
      <c r="AB108" s="15" t="n"/>
      <c r="AC108" s="6" t="inlineStr">
        <is>
          <t>watch</t>
        </is>
      </c>
      <c r="AD108" s="6" t="inlineStr">
        <is>
          <t>flat</t>
        </is>
      </c>
      <c r="AE108" s="17" t="n">
        <v>245.24</v>
      </c>
      <c r="AF108" s="17" t="n">
        <v>226.362</v>
      </c>
      <c r="AG108" s="17" t="n">
        <v>264.118</v>
      </c>
      <c r="AH108" s="20" t="n">
        <v>46331</v>
      </c>
      <c r="AI108" s="18" t="n">
        <v>0.5</v>
      </c>
      <c r="AJ108" s="6" t="inlineStr">
        <is>
          <t>watch</t>
        </is>
      </c>
      <c r="AK108" s="12" t="n">
        <v>6</v>
      </c>
      <c r="AL108" s="15" t="inlineStr">
        <is>
          <t>Accenture Recognized in 2026 Guidewire PartnerConnect Excellence Awards</t>
        </is>
      </c>
      <c r="AM108" s="17" t="n">
        <v>245.585</v>
      </c>
      <c r="AN108" s="19" t="n">
        <v>0.005699999999999999</v>
      </c>
      <c r="AO108" s="17" t="n">
        <v>99521.99000000001</v>
      </c>
      <c r="AP108" s="17" t="n">
        <v>12877.2</v>
      </c>
      <c r="AQ108" s="19" t="n">
        <v>0.0833</v>
      </c>
      <c r="AR108" s="16" t="n">
        <v>2.726336942</v>
      </c>
      <c r="AS108" s="17" t="n">
        <v>243.84</v>
      </c>
      <c r="AT108" s="19" t="n">
        <v>0.0072</v>
      </c>
      <c r="AU108" s="6" t="inlineStr">
        <is>
          <t>paper</t>
        </is>
      </c>
      <c r="AV108" s="6" t="inlineStr">
        <is>
          <t>54ffb774-a2a5-48dc-bed4-428649caa4b4</t>
        </is>
      </c>
      <c r="AW108" s="6" t="inlineStr">
        <is>
          <t>tdagent-sell-ACN-1793293599550</t>
        </is>
      </c>
      <c r="AX108" s="13" t="n">
        <v>46324.71295138889</v>
      </c>
      <c r="AY108" s="13" t="n">
        <v>46324.71296296296</v>
      </c>
      <c r="AZ108" s="13" t="n">
        <v>46324.71270833333</v>
      </c>
      <c r="BA108" s="6" t="n"/>
    </row>
    <row r="109">
      <c r="A109" s="12" t="n">
        <v>108</v>
      </c>
      <c r="B109" s="13" t="n">
        <v>46324.75886574074</v>
      </c>
      <c r="C109" s="13" t="n">
        <v>46324.5505324074</v>
      </c>
      <c r="D109" s="13" t="n">
        <v>46324.71719907408</v>
      </c>
      <c r="E109" s="21" t="inlineStr">
        <is>
          <t>SELL</t>
        </is>
      </c>
      <c r="F109" s="6" t="inlineStr">
        <is>
          <t>EQT</t>
        </is>
      </c>
      <c r="G109" s="15" t="inlineStr">
        <is>
          <t>EQT</t>
        </is>
      </c>
      <c r="H109" s="6" t="inlineStr">
        <is>
          <t>NYSE</t>
        </is>
      </c>
      <c r="I109" s="6" t="inlineStr">
        <is>
          <t>filled</t>
        </is>
      </c>
      <c r="J109" s="16" t="n">
        <v>24.950127411</v>
      </c>
      <c r="K109" s="17" t="n">
        <v>54.75</v>
      </c>
      <c r="L109" s="17">
        <f>IF(AND(ISNUMBER(J109),ISNUMBER(K109)),J109*K109,"")</f>
        <v/>
      </c>
      <c r="M109" s="17" t="n"/>
      <c r="N109" s="16" t="n">
        <v>24.950127411</v>
      </c>
      <c r="O109" s="6" t="inlineStr">
        <is>
          <t>2 or fewer green</t>
        </is>
      </c>
      <c r="P109" s="15" t="inlineStr">
        <is>
          <t>Only 2 of 5 green</t>
        </is>
      </c>
      <c r="Q109" s="12" t="n">
        <v>2</v>
      </c>
      <c r="R109" s="6" t="inlineStr">
        <is>
          <t>ok</t>
        </is>
      </c>
      <c r="S109" s="18" t="n">
        <v>0.552</v>
      </c>
      <c r="T109" s="12" t="n">
        <v>29</v>
      </c>
      <c r="U109" s="19" t="n">
        <v>0.0017</v>
      </c>
      <c r="V109" s="19" t="n">
        <v>0.2893</v>
      </c>
      <c r="W109" s="12" t="n"/>
      <c r="X109" s="6" t="inlineStr">
        <is>
          <t>ok</t>
        </is>
      </c>
      <c r="Y109" s="19" t="n">
        <v>0.0014</v>
      </c>
      <c r="Z109" s="6" t="inlineStr">
        <is>
          <t>alert</t>
        </is>
      </c>
      <c r="AA109" s="12" t="n">
        <v>60</v>
      </c>
      <c r="AB109" s="15" t="inlineStr">
        <is>
          <t>Price gapped 5.1% at an open in the last week.; Rose 4.1% then gave back most of it within hours. Looks like pump-and-fade.</t>
        </is>
      </c>
      <c r="AC109" s="6" t="inlineStr">
        <is>
          <t>watch</t>
        </is>
      </c>
      <c r="AD109" s="6" t="inlineStr">
        <is>
          <t>up</t>
        </is>
      </c>
      <c r="AE109" s="17" t="n">
        <v>55.5938</v>
      </c>
      <c r="AF109" s="17" t="n">
        <v>53.5719</v>
      </c>
      <c r="AG109" s="17" t="n">
        <v>57.6156</v>
      </c>
      <c r="AH109" s="20" t="n">
        <v>46331</v>
      </c>
      <c r="AI109" s="18" t="n">
        <v>0.54</v>
      </c>
      <c r="AJ109" s="6" t="inlineStr">
        <is>
          <t>watch</t>
        </is>
      </c>
      <c r="AK109" s="12" t="n">
        <v>6</v>
      </c>
      <c r="AL109" s="15" t="inlineStr">
        <is>
          <t>UBS Maintains Buy on EQT, Lowers Price Target to $75</t>
        </is>
      </c>
      <c r="AM109" s="17" t="n">
        <v>54.785</v>
      </c>
      <c r="AN109" s="19" t="n">
        <v>-0.0257</v>
      </c>
      <c r="AO109" s="17" t="n">
        <v>99498.22</v>
      </c>
      <c r="AP109" s="17" t="n">
        <v>13211.93</v>
      </c>
      <c r="AQ109" s="19" t="n">
        <v>0.0833</v>
      </c>
      <c r="AR109" s="16" t="n">
        <v>24.950127411</v>
      </c>
      <c r="AS109" s="17" t="n">
        <v>54.94</v>
      </c>
      <c r="AT109" s="19" t="n">
        <v>-0.0033</v>
      </c>
      <c r="AU109" s="6" t="inlineStr">
        <is>
          <t>paper</t>
        </is>
      </c>
      <c r="AV109" s="6" t="inlineStr">
        <is>
          <t>3539abf7-dadc-480f-b7ab-2912f7545db5</t>
        </is>
      </c>
      <c r="AW109" s="6" t="inlineStr">
        <is>
          <t>tdagent-sell-EQT-1793293964775</t>
        </is>
      </c>
      <c r="AX109" s="13" t="n">
        <v>46324.71717592593</v>
      </c>
      <c r="AY109" s="13" t="n">
        <v>46324.71719907408</v>
      </c>
      <c r="AZ109" s="13" t="n">
        <v>46324.71689814814</v>
      </c>
      <c r="BA109" s="6" t="n"/>
    </row>
    <row r="110">
      <c r="A110" s="12" t="n">
        <v>109</v>
      </c>
      <c r="B110" s="13" t="n">
        <v>46324.76877314815</v>
      </c>
      <c r="C110" s="13" t="n">
        <v>46324.56043981481</v>
      </c>
      <c r="D110" s="13" t="n">
        <v>46324.72710648148</v>
      </c>
      <c r="E110" s="21" t="inlineStr">
        <is>
          <t>SELL</t>
        </is>
      </c>
      <c r="F110" s="6" t="inlineStr">
        <is>
          <t>ILMN</t>
        </is>
      </c>
      <c r="G110" s="15" t="n"/>
      <c r="H110" s="6" t="n"/>
      <c r="I110" s="6" t="inlineStr">
        <is>
          <t>filled</t>
        </is>
      </c>
      <c r="J110" s="16" t="n">
        <v>2.303818963</v>
      </c>
      <c r="K110" s="17" t="n">
        <v>289.14</v>
      </c>
      <c r="L110" s="17">
        <f>IF(AND(ISNUMBER(J110),ISNUMBER(K110)),J110*K110,"")</f>
        <v/>
      </c>
      <c r="M110" s="17" t="n"/>
      <c r="N110" s="16" t="n">
        <v>2.303818963</v>
      </c>
      <c r="O110" s="6" t="inlineStr">
        <is>
          <t>stop-loss (Alpaca order)</t>
        </is>
      </c>
      <c r="P110" s="15" t="inlineStr">
        <is>
          <t>Alpaca stop order triggered at 289.95 (the stock's sell line)</t>
        </is>
      </c>
      <c r="Q110" s="12" t="n"/>
      <c r="R110" s="6" t="n"/>
      <c r="S110" s="18" t="n"/>
      <c r="T110" s="12" t="n"/>
      <c r="U110" s="19" t="n"/>
      <c r="V110" s="19" t="n"/>
      <c r="W110" s="12" t="n"/>
      <c r="X110" s="6" t="n"/>
      <c r="Y110" s="19" t="n"/>
      <c r="Z110" s="6" t="n"/>
      <c r="AA110" s="12" t="n"/>
      <c r="AB110" s="15" t="n"/>
      <c r="AC110" s="6" t="n"/>
      <c r="AD110" s="6" t="n"/>
      <c r="AE110" s="17" t="n"/>
      <c r="AF110" s="17" t="n"/>
      <c r="AG110" s="17" t="n"/>
      <c r="AH110" s="20" t="n"/>
      <c r="AI110" s="18" t="n"/>
      <c r="AJ110" s="6" t="n"/>
      <c r="AK110" s="12" t="n"/>
      <c r="AL110" s="15" t="n"/>
      <c r="AM110" s="17" t="n"/>
      <c r="AN110" s="19" t="n"/>
      <c r="AO110" s="17" t="n"/>
      <c r="AP110" s="17" t="n"/>
      <c r="AQ110" s="19" t="n"/>
      <c r="AR110" s="16" t="n"/>
      <c r="AS110" s="17" t="n"/>
      <c r="AT110" s="19" t="n"/>
      <c r="AU110" s="6" t="inlineStr">
        <is>
          <t>paper</t>
        </is>
      </c>
      <c r="AV110" s="6" t="inlineStr">
        <is>
          <t>ce4efa09-f361-4d52-9ef0-72a2d170660d</t>
        </is>
      </c>
      <c r="AW110" s="6" t="inlineStr">
        <is>
          <t>tdagent-stop-ILMN-1793293969433</t>
        </is>
      </c>
      <c r="AX110" s="13" t="n">
        <v>46324.7172337963</v>
      </c>
      <c r="AY110" s="13" t="n">
        <v>46324.72710648148</v>
      </c>
      <c r="AZ110" s="13" t="n"/>
      <c r="BA110" s="6" t="n"/>
    </row>
    <row r="111">
      <c r="A111" s="12" t="n">
        <v>110</v>
      </c>
      <c r="B111" s="13" t="n">
        <v>46324.78953703704</v>
      </c>
      <c r="C111" s="13" t="n">
        <v>46324.5812037037</v>
      </c>
      <c r="D111" s="13" t="n">
        <v>46324.74787037037</v>
      </c>
      <c r="E111" s="21" t="inlineStr">
        <is>
          <t>SELL</t>
        </is>
      </c>
      <c r="F111" s="6" t="inlineStr">
        <is>
          <t>TMO</t>
        </is>
      </c>
      <c r="G111" s="15" t="n"/>
      <c r="H111" s="6" t="n"/>
      <c r="I111" s="6" t="inlineStr">
        <is>
          <t>filled</t>
        </is>
      </c>
      <c r="J111" s="16" t="n">
        <v>11.851651941</v>
      </c>
      <c r="K111" s="17" t="n">
        <v>704.25</v>
      </c>
      <c r="L111" s="17">
        <f>IF(AND(ISNUMBER(J111),ISNUMBER(K111)),J111*K111,"")</f>
        <v/>
      </c>
      <c r="M111" s="17" t="n"/>
      <c r="N111" s="16" t="n">
        <v>11.851651941</v>
      </c>
      <c r="O111" s="6" t="inlineStr">
        <is>
          <t>stop-loss (Alpaca order)</t>
        </is>
      </c>
      <c r="P111" s="15" t="inlineStr">
        <is>
          <t>Alpaca stop order triggered at 704.35 (the stock's sell line)</t>
        </is>
      </c>
      <c r="Q111" s="12" t="n"/>
      <c r="R111" s="6" t="n"/>
      <c r="S111" s="18" t="n"/>
      <c r="T111" s="12" t="n"/>
      <c r="U111" s="19" t="n"/>
      <c r="V111" s="19" t="n"/>
      <c r="W111" s="12" t="n"/>
      <c r="X111" s="6" t="n"/>
      <c r="Y111" s="19" t="n"/>
      <c r="Z111" s="6" t="n"/>
      <c r="AA111" s="12" t="n"/>
      <c r="AB111" s="15" t="n"/>
      <c r="AC111" s="6" t="n"/>
      <c r="AD111" s="6" t="n"/>
      <c r="AE111" s="17" t="n"/>
      <c r="AF111" s="17" t="n"/>
      <c r="AG111" s="17" t="n"/>
      <c r="AH111" s="20" t="n"/>
      <c r="AI111" s="18" t="n"/>
      <c r="AJ111" s="6" t="n"/>
      <c r="AK111" s="12" t="n"/>
      <c r="AL111" s="15" t="n"/>
      <c r="AM111" s="17" t="n"/>
      <c r="AN111" s="19" t="n"/>
      <c r="AO111" s="17" t="n"/>
      <c r="AP111" s="17" t="n"/>
      <c r="AQ111" s="19" t="n"/>
      <c r="AR111" s="16" t="n"/>
      <c r="AS111" s="17" t="n"/>
      <c r="AT111" s="19" t="n"/>
      <c r="AU111" s="6" t="inlineStr">
        <is>
          <t>paper</t>
        </is>
      </c>
      <c r="AV111" s="6" t="inlineStr">
        <is>
          <t>40c48aa1-abe9-44e0-9690-d876391f8eb9</t>
        </is>
      </c>
      <c r="AW111" s="6" t="inlineStr">
        <is>
          <t>tdagent-stop-TMO-1793293970703</t>
        </is>
      </c>
      <c r="AX111" s="13" t="n">
        <v>46324.71724537037</v>
      </c>
      <c r="AY111" s="13" t="n">
        <v>46324.74787037037</v>
      </c>
      <c r="AZ111" s="13" t="n"/>
      <c r="BA111" s="6" t="n"/>
    </row>
    <row r="112">
      <c r="A112" s="12" t="n">
        <v>111</v>
      </c>
      <c r="B112" s="13" t="n">
        <v>46324.77543981482</v>
      </c>
      <c r="C112" s="13" t="n">
        <v>46324.56710648148</v>
      </c>
      <c r="D112" s="13" t="n">
        <v>46324.73377314815</v>
      </c>
      <c r="E112" s="14" t="inlineStr">
        <is>
          <t>BUY</t>
        </is>
      </c>
      <c r="F112" s="6" t="inlineStr">
        <is>
          <t>REGN</t>
        </is>
      </c>
      <c r="G112" s="15" t="inlineStr">
        <is>
          <t>Regeneron Pharmaceuticals, Inc. Common Stock</t>
        </is>
      </c>
      <c r="H112" s="6" t="inlineStr">
        <is>
          <t>NASDAQ</t>
        </is>
      </c>
      <c r="I112" s="6" t="inlineStr">
        <is>
          <t>filled</t>
        </is>
      </c>
      <c r="J112" s="16" t="n">
        <v>1.562144008</v>
      </c>
      <c r="K112" s="17" t="n">
        <v>812.87</v>
      </c>
      <c r="L112" s="17">
        <f>IF(AND(ISNUMBER(J112),ISNUMBER(K112)),J112*K112,"")</f>
        <v/>
      </c>
      <c r="M112" s="17" t="n">
        <v>1269.83</v>
      </c>
      <c r="N112" s="16" t="n"/>
      <c r="O112" s="6" t="inlineStr">
        <is>
          <t>4+/5 green</t>
        </is>
      </c>
      <c r="P112" s="15" t="inlineStr">
        <is>
          <t>5 of 5 green, time machine green, rank #4, 8.33% of the $15,244.08 free cash split 12 ways</t>
        </is>
      </c>
      <c r="Q112" s="12" t="n">
        <v>5</v>
      </c>
      <c r="R112" s="6" t="inlineStr">
        <is>
          <t>ok</t>
        </is>
      </c>
      <c r="S112" s="18" t="n">
        <v>0.59</v>
      </c>
      <c r="T112" s="12" t="n">
        <v>39</v>
      </c>
      <c r="U112" s="19" t="n">
        <v>0.0069</v>
      </c>
      <c r="V112" s="19" t="n">
        <v>0.2893</v>
      </c>
      <c r="W112" s="12" t="n">
        <v>4</v>
      </c>
      <c r="X112" s="6" t="inlineStr">
        <is>
          <t>ok</t>
        </is>
      </c>
      <c r="Y112" s="19" t="n">
        <v>0.0018</v>
      </c>
      <c r="Z112" s="6" t="inlineStr">
        <is>
          <t>ok</t>
        </is>
      </c>
      <c r="AA112" s="12" t="n">
        <v>100</v>
      </c>
      <c r="AB112" s="15" t="n"/>
      <c r="AC112" s="6" t="inlineStr">
        <is>
          <t>ok</t>
        </is>
      </c>
      <c r="AD112" s="6" t="inlineStr">
        <is>
          <t>up</t>
        </is>
      </c>
      <c r="AE112" s="17" t="n">
        <v>824.77</v>
      </c>
      <c r="AF112" s="17" t="n">
        <v>793.6451</v>
      </c>
      <c r="AG112" s="17" t="n">
        <v>855.8949</v>
      </c>
      <c r="AH112" s="20" t="n">
        <v>46331</v>
      </c>
      <c r="AI112" s="18" t="n">
        <v>0.53</v>
      </c>
      <c r="AJ112" s="6" t="inlineStr">
        <is>
          <t>ok</t>
        </is>
      </c>
      <c r="AK112" s="12" t="n">
        <v>4</v>
      </c>
      <c r="AL112" s="15" t="inlineStr">
        <is>
          <t>Canaccord Genuity Maintains Buy on Regeneron Pharmaceuticals, Raises Price Target to $922</t>
        </is>
      </c>
      <c r="AM112" s="17" t="n">
        <v>812.3200000000001</v>
      </c>
      <c r="AN112" s="19" t="n">
        <v>-0.0016</v>
      </c>
      <c r="AO112" s="17" t="n">
        <v>99345.75</v>
      </c>
      <c r="AP112" s="17" t="n">
        <v>15244.08</v>
      </c>
      <c r="AQ112" s="19" t="n">
        <v>0.0833</v>
      </c>
      <c r="AR112" s="16" t="n"/>
      <c r="AS112" s="17" t="n"/>
      <c r="AT112" s="19" t="n"/>
      <c r="AU112" s="6" t="inlineStr">
        <is>
          <t>paper</t>
        </is>
      </c>
      <c r="AV112" s="6" t="inlineStr">
        <is>
          <t>1f5a23ed-afbf-4216-8e41-ba5eccfed86a</t>
        </is>
      </c>
      <c r="AW112" s="6" t="inlineStr">
        <is>
          <t>tdagent-buy-REGN-1793295398213</t>
        </is>
      </c>
      <c r="AX112" s="13" t="n">
        <v>46324.73377314815</v>
      </c>
      <c r="AY112" s="13" t="n">
        <v>46324.73377314815</v>
      </c>
      <c r="AZ112" s="13" t="n">
        <v>46324.73350694445</v>
      </c>
      <c r="BA112" s="6" t="n"/>
    </row>
    <row r="113">
      <c r="A113" s="12" t="n">
        <v>112</v>
      </c>
      <c r="B113" s="13" t="n">
        <v>46324.81153935185</v>
      </c>
      <c r="C113" s="13" t="n">
        <v>46324.60320601852</v>
      </c>
      <c r="D113" s="13" t="n">
        <v>46324.76987268519</v>
      </c>
      <c r="E113" s="21" t="inlineStr">
        <is>
          <t>SELL</t>
        </is>
      </c>
      <c r="F113" s="6" t="inlineStr">
        <is>
          <t>LIN</t>
        </is>
      </c>
      <c r="G113" s="15" t="inlineStr">
        <is>
          <t>LIN</t>
        </is>
      </c>
      <c r="H113" s="6" t="inlineStr">
        <is>
          <t>NASDAQ</t>
        </is>
      </c>
      <c r="I113" s="6" t="inlineStr">
        <is>
          <t>filled</t>
        </is>
      </c>
      <c r="J113" s="16" t="n">
        <v>0.662854464</v>
      </c>
      <c r="K113" s="17" t="n">
        <v>502.818</v>
      </c>
      <c r="L113" s="17">
        <f>IF(AND(ISNUMBER(J113),ISNUMBER(K113)),J113*K113,"")</f>
        <v/>
      </c>
      <c r="M113" s="17" t="n"/>
      <c r="N113" s="16" t="n">
        <v>0.662854464</v>
      </c>
      <c r="O113" s="6" t="inlineStr">
        <is>
          <t>3 green: sell half</t>
        </is>
      </c>
      <c r="P113" s="15" t="inlineStr">
        <is>
          <t>3 of 5 green: start selling (half)</t>
        </is>
      </c>
      <c r="Q113" s="12" t="n">
        <v>3</v>
      </c>
      <c r="R113" s="6" t="inlineStr">
        <is>
          <t>ok</t>
        </is>
      </c>
      <c r="S113" s="18" t="n">
        <v>0.635</v>
      </c>
      <c r="T113" s="12" t="n">
        <v>52</v>
      </c>
      <c r="U113" s="19" t="n">
        <v>0.0104</v>
      </c>
      <c r="V113" s="19" t="n">
        <v>0.2893</v>
      </c>
      <c r="W113" s="12" t="n"/>
      <c r="X113" s="6" t="inlineStr">
        <is>
          <t>ok</t>
        </is>
      </c>
      <c r="Y113" s="19" t="n">
        <v>0.0003</v>
      </c>
      <c r="Z113" s="6" t="inlineStr">
        <is>
          <t>ok</t>
        </is>
      </c>
      <c r="AA113" s="12" t="n">
        <v>100</v>
      </c>
      <c r="AB113" s="15" t="n"/>
      <c r="AC113" s="6" t="inlineStr">
        <is>
          <t>watch</t>
        </is>
      </c>
      <c r="AD113" s="6" t="inlineStr">
        <is>
          <t>flat</t>
        </is>
      </c>
      <c r="AE113" s="17" t="n">
        <v>502.76</v>
      </c>
      <c r="AF113" s="17" t="n">
        <v>492.6839</v>
      </c>
      <c r="AG113" s="17" t="n">
        <v>512.8361</v>
      </c>
      <c r="AH113" s="20" t="n">
        <v>46331</v>
      </c>
      <c r="AI113" s="18" t="n">
        <v>0.5</v>
      </c>
      <c r="AJ113" s="6" t="inlineStr">
        <is>
          <t>watch</t>
        </is>
      </c>
      <c r="AK113" s="12" t="n">
        <v>9</v>
      </c>
      <c r="AL113" s="15" t="inlineStr">
        <is>
          <t>Linde Q3 2026 Earnings Call Transcript</t>
        </is>
      </c>
      <c r="AM113" s="17" t="n">
        <v>502.905</v>
      </c>
      <c r="AN113" s="19" t="n">
        <v>-0.0104</v>
      </c>
      <c r="AO113" s="17" t="n">
        <v>99432.78</v>
      </c>
      <c r="AP113" s="17" t="n">
        <v>22987.6</v>
      </c>
      <c r="AQ113" s="19" t="n">
        <v>0.0833</v>
      </c>
      <c r="AR113" s="16" t="n">
        <v>1.325708929</v>
      </c>
      <c r="AS113" s="17" t="n">
        <v>501.46</v>
      </c>
      <c r="AT113" s="19" t="n">
        <v>0.0027</v>
      </c>
      <c r="AU113" s="6" t="inlineStr">
        <is>
          <t>paper</t>
        </is>
      </c>
      <c r="AV113" s="6" t="inlineStr">
        <is>
          <t>b675bf9c-d103-4e06-b118-e159543a194b</t>
        </is>
      </c>
      <c r="AW113" s="6" t="inlineStr">
        <is>
          <t>tdagent-sell-LIN-1793298517331</t>
        </is>
      </c>
      <c r="AX113" s="13" t="n">
        <v>46324.76987268519</v>
      </c>
      <c r="AY113" s="13" t="n">
        <v>46324.76987268519</v>
      </c>
      <c r="AZ113" s="13" t="n">
        <v>46324.7696412037</v>
      </c>
      <c r="BA113" s="6" t="n"/>
    </row>
    <row r="114">
      <c r="A114" s="12" t="n">
        <v>113</v>
      </c>
      <c r="B114" s="13" t="n">
        <v>46324.85206018519</v>
      </c>
      <c r="C114" s="13" t="n">
        <v>46324.64372685185</v>
      </c>
      <c r="D114" s="13" t="n">
        <v>46324.81039351852</v>
      </c>
      <c r="E114" s="21" t="inlineStr">
        <is>
          <t>SELL</t>
        </is>
      </c>
      <c r="F114" s="6" t="inlineStr">
        <is>
          <t>EBAY</t>
        </is>
      </c>
      <c r="G114" s="15" t="n"/>
      <c r="H114" s="6" t="n"/>
      <c r="I114" s="6" t="inlineStr">
        <is>
          <t>filled</t>
        </is>
      </c>
      <c r="J114" s="16" t="n">
        <v>9.638632618999999</v>
      </c>
      <c r="K114" s="17" t="n">
        <v>122.25</v>
      </c>
      <c r="L114" s="17">
        <f>IF(AND(ISNUMBER(J114),ISNUMBER(K114)),J114*K114,"")</f>
        <v/>
      </c>
      <c r="M114" s="17" t="n"/>
      <c r="N114" s="16" t="n">
        <v>9.638632618999999</v>
      </c>
      <c r="O114" s="6" t="inlineStr">
        <is>
          <t>stop-loss (Alpaca order)</t>
        </is>
      </c>
      <c r="P114" s="15" t="inlineStr">
        <is>
          <t>Alpaca stop order triggered at 122.34 (the stock's sell line)</t>
        </is>
      </c>
      <c r="Q114" s="12" t="n"/>
      <c r="R114" s="6" t="n"/>
      <c r="S114" s="18" t="n"/>
      <c r="T114" s="12" t="n"/>
      <c r="U114" s="19" t="n"/>
      <c r="V114" s="19" t="n"/>
      <c r="W114" s="12" t="n"/>
      <c r="X114" s="6" t="n"/>
      <c r="Y114" s="19" t="n"/>
      <c r="Z114" s="6" t="n"/>
      <c r="AA114" s="12" t="n"/>
      <c r="AB114" s="15" t="n"/>
      <c r="AC114" s="6" t="n"/>
      <c r="AD114" s="6" t="n"/>
      <c r="AE114" s="17" t="n"/>
      <c r="AF114" s="17" t="n"/>
      <c r="AG114" s="17" t="n"/>
      <c r="AH114" s="20" t="n"/>
      <c r="AI114" s="18" t="n"/>
      <c r="AJ114" s="6" t="n"/>
      <c r="AK114" s="12" t="n"/>
      <c r="AL114" s="15" t="n"/>
      <c r="AM114" s="17" t="n"/>
      <c r="AN114" s="19" t="n"/>
      <c r="AO114" s="17" t="n"/>
      <c r="AP114" s="17" t="n"/>
      <c r="AQ114" s="19" t="n"/>
      <c r="AR114" s="16" t="n"/>
      <c r="AS114" s="17" t="n"/>
      <c r="AT114" s="19" t="n"/>
      <c r="AU114" s="6" t="inlineStr">
        <is>
          <t>paper</t>
        </is>
      </c>
      <c r="AV114" s="6" t="inlineStr">
        <is>
          <t>2a1a9111-8f6b-42f5-b73a-345167f1962b</t>
        </is>
      </c>
      <c r="AW114" s="6" t="inlineStr">
        <is>
          <t>tdagent-stop-EBAY-1793300832914</t>
        </is>
      </c>
      <c r="AX114" s="13" t="n">
        <v>46324.79666666667</v>
      </c>
      <c r="AY114" s="13" t="n">
        <v>46324.81039351852</v>
      </c>
      <c r="AZ114" s="13" t="n"/>
      <c r="BA114" s="6" t="n"/>
    </row>
    <row r="115">
      <c r="A115" s="12" t="n">
        <v>114</v>
      </c>
      <c r="B115" s="13" t="n">
        <v>46324.83886574074</v>
      </c>
      <c r="C115" s="13" t="n">
        <v>46324.63053240741</v>
      </c>
      <c r="D115" s="13" t="n">
        <v>46324.79719907408</v>
      </c>
      <c r="E115" s="14" t="inlineStr">
        <is>
          <t>BUY</t>
        </is>
      </c>
      <c r="F115" s="6" t="inlineStr">
        <is>
          <t>MNST</t>
        </is>
      </c>
      <c r="G115" s="15" t="inlineStr">
        <is>
          <t>Monster Beverage Corporation</t>
        </is>
      </c>
      <c r="H115" s="6" t="inlineStr">
        <is>
          <t>NASDAQ</t>
        </is>
      </c>
      <c r="I115" s="6" t="inlineStr">
        <is>
          <t>filled</t>
        </is>
      </c>
      <c r="J115" s="16" t="n">
        <v>41.930066911</v>
      </c>
      <c r="K115" s="17" t="n">
        <v>46.33</v>
      </c>
      <c r="L115" s="17">
        <f>IF(AND(ISNUMBER(J115),ISNUMBER(K115)),J115*K115,"")</f>
        <v/>
      </c>
      <c r="M115" s="17" t="n">
        <v>1942.63</v>
      </c>
      <c r="N115" s="16" t="n"/>
      <c r="O115" s="6" t="inlineStr">
        <is>
          <t>4+/5 green</t>
        </is>
      </c>
      <c r="P115" s="15" t="inlineStr">
        <is>
          <t>4 of 5 green, time machine green, rank #5, 8.33% of the $23,320.90 free cash split 12 ways</t>
        </is>
      </c>
      <c r="Q115" s="12" t="n">
        <v>4</v>
      </c>
      <c r="R115" s="6" t="inlineStr">
        <is>
          <t>ok</t>
        </is>
      </c>
      <c r="S115" s="18" t="n">
        <v>0.652</v>
      </c>
      <c r="T115" s="12" t="n">
        <v>89</v>
      </c>
      <c r="U115" s="19" t="n">
        <v>0.0089</v>
      </c>
      <c r="V115" s="19" t="n">
        <v>0.2893</v>
      </c>
      <c r="W115" s="12" t="n">
        <v>5</v>
      </c>
      <c r="X115" s="6" t="inlineStr">
        <is>
          <t>ok</t>
        </is>
      </c>
      <c r="Y115" s="19" t="n">
        <v>0.0002</v>
      </c>
      <c r="Z115" s="6" t="inlineStr">
        <is>
          <t>ok</t>
        </is>
      </c>
      <c r="AA115" s="12" t="n">
        <v>100</v>
      </c>
      <c r="AB115" s="15" t="n"/>
      <c r="AC115" s="6" t="inlineStr">
        <is>
          <t>ok</t>
        </is>
      </c>
      <c r="AD115" s="6" t="inlineStr">
        <is>
          <t>up</t>
        </is>
      </c>
      <c r="AE115" s="17" t="n">
        <v>46.9591</v>
      </c>
      <c r="AF115" s="17" t="n">
        <v>45.3364</v>
      </c>
      <c r="AG115" s="17" t="n">
        <v>48.5818</v>
      </c>
      <c r="AH115" s="20" t="n">
        <v>46331</v>
      </c>
      <c r="AI115" s="18" t="n">
        <v>0.53</v>
      </c>
      <c r="AJ115" s="6" t="inlineStr">
        <is>
          <t>watch</t>
        </is>
      </c>
      <c r="AK115" s="12" t="n">
        <v>1</v>
      </c>
      <c r="AL115" s="15" t="inlineStr">
        <is>
          <t>Monster Beverage Corporation Announces Third Quarter 2026 Earnings Release Date</t>
        </is>
      </c>
      <c r="AM115" s="17" t="n">
        <v>46.32</v>
      </c>
      <c r="AN115" s="19" t="n">
        <v>0.014</v>
      </c>
      <c r="AO115" s="17" t="n">
        <v>99455.06</v>
      </c>
      <c r="AP115" s="17" t="n">
        <v>23320.9</v>
      </c>
      <c r="AQ115" s="19" t="n">
        <v>0.0833</v>
      </c>
      <c r="AR115" s="16" t="n"/>
      <c r="AS115" s="17" t="n"/>
      <c r="AT115" s="19" t="n"/>
      <c r="AU115" s="6" t="inlineStr">
        <is>
          <t>paper</t>
        </is>
      </c>
      <c r="AV115" s="6" t="inlineStr">
        <is>
          <t>3e9a5e35-8f69-42ac-88d5-32689c3ef2c2</t>
        </is>
      </c>
      <c r="AW115" s="6" t="inlineStr">
        <is>
          <t>tdagent-buy-MNST-1793300877596</t>
        </is>
      </c>
      <c r="AX115" s="13" t="n">
        <v>46324.7971875</v>
      </c>
      <c r="AY115" s="13" t="n">
        <v>46324.79719907408</v>
      </c>
      <c r="AZ115" s="13" t="n">
        <v>46324.79684027778</v>
      </c>
      <c r="BA115" s="6" t="n"/>
    </row>
    <row r="116">
      <c r="A116" s="12" t="n">
        <v>115</v>
      </c>
      <c r="B116" s="13" t="n">
        <v>46324.84719907407</v>
      </c>
      <c r="C116" s="13" t="n">
        <v>46324.63886574074</v>
      </c>
      <c r="D116" s="13" t="n">
        <v>46324.80553240741</v>
      </c>
      <c r="E116" s="21" t="inlineStr">
        <is>
          <t>SELL</t>
        </is>
      </c>
      <c r="F116" s="6" t="inlineStr">
        <is>
          <t>XOM</t>
        </is>
      </c>
      <c r="G116" s="15" t="inlineStr">
        <is>
          <t>XOM</t>
        </is>
      </c>
      <c r="H116" s="6" t="inlineStr">
        <is>
          <t>NYSE</t>
        </is>
      </c>
      <c r="I116" s="6" t="inlineStr">
        <is>
          <t>filled</t>
        </is>
      </c>
      <c r="J116" s="16" t="n">
        <v>1.829160247</v>
      </c>
      <c r="K116" s="17" t="n">
        <v>182.77</v>
      </c>
      <c r="L116" s="17">
        <f>IF(AND(ISNUMBER(J116),ISNUMBER(K116)),J116*K116,"")</f>
        <v/>
      </c>
      <c r="M116" s="17" t="n"/>
      <c r="N116" s="16" t="n">
        <v>1.829160247</v>
      </c>
      <c r="O116" s="6" t="inlineStr">
        <is>
          <t>2 or fewer green</t>
        </is>
      </c>
      <c r="P116" s="15" t="inlineStr">
        <is>
          <t>Only 2 of 5 green</t>
        </is>
      </c>
      <c r="Q116" s="12" t="n">
        <v>2</v>
      </c>
      <c r="R116" s="6" t="inlineStr">
        <is>
          <t>ok</t>
        </is>
      </c>
      <c r="S116" s="18" t="n">
        <v>0.624</v>
      </c>
      <c r="T116" s="12" t="n">
        <v>93</v>
      </c>
      <c r="U116" s="19" t="n">
        <v>0.0119</v>
      </c>
      <c r="V116" s="19" t="n">
        <v>0.2893</v>
      </c>
      <c r="W116" s="12" t="n"/>
      <c r="X116" s="6" t="inlineStr">
        <is>
          <t>watch</t>
        </is>
      </c>
      <c r="Y116" s="19" t="n">
        <v>0.008</v>
      </c>
      <c r="Z116" s="6" t="inlineStr">
        <is>
          <t>ok</t>
        </is>
      </c>
      <c r="AA116" s="12" t="n">
        <v>100</v>
      </c>
      <c r="AB116" s="15" t="n"/>
      <c r="AC116" s="6" t="inlineStr">
        <is>
          <t>watch</t>
        </is>
      </c>
      <c r="AD116" s="6" t="inlineStr">
        <is>
          <t>flat</t>
        </is>
      </c>
      <c r="AE116" s="17" t="n">
        <v>182.76</v>
      </c>
      <c r="AF116" s="17" t="n">
        <v>176.5879</v>
      </c>
      <c r="AG116" s="17" t="n">
        <v>188.9321</v>
      </c>
      <c r="AH116" s="20" t="n">
        <v>46331</v>
      </c>
      <c r="AI116" s="18" t="n">
        <v>0.5</v>
      </c>
      <c r="AJ116" s="6" t="inlineStr">
        <is>
          <t>watch</t>
        </is>
      </c>
      <c r="AK116" s="12" t="n">
        <v>8</v>
      </c>
      <c r="AL116" s="15" t="inlineStr">
        <is>
          <t>Exxon Mobil and Citgo Petroleum Acquire Venezuelan Crude Oil Shipment</t>
        </is>
      </c>
      <c r="AM116" s="17" t="n">
        <v>182.76</v>
      </c>
      <c r="AN116" s="19" t="n">
        <v>0.0037</v>
      </c>
      <c r="AO116" s="17" t="n">
        <v>99423.74000000001</v>
      </c>
      <c r="AP116" s="17" t="n">
        <v>21378.28</v>
      </c>
      <c r="AQ116" s="19" t="n">
        <v>0.0833</v>
      </c>
      <c r="AR116" s="16" t="n">
        <v>1.829160247</v>
      </c>
      <c r="AS116" s="17" t="n">
        <v>181.72</v>
      </c>
      <c r="AT116" s="19" t="n">
        <v>0.0059</v>
      </c>
      <c r="AU116" s="6" t="inlineStr">
        <is>
          <t>paper</t>
        </is>
      </c>
      <c r="AV116" s="6" t="inlineStr">
        <is>
          <t>c5433a9a-d16b-46fa-9feb-760487f14491</t>
        </is>
      </c>
      <c r="AW116" s="6" t="inlineStr">
        <is>
          <t>tdagent-sell-XOM-1793301597035</t>
        </is>
      </c>
      <c r="AX116" s="13" t="n">
        <v>46324.80552083333</v>
      </c>
      <c r="AY116" s="13" t="n">
        <v>46324.80553240741</v>
      </c>
      <c r="AZ116" s="13" t="n">
        <v>46324.80516203704</v>
      </c>
      <c r="BA116" s="6" t="n"/>
    </row>
    <row r="117">
      <c r="A117" s="12" t="n">
        <v>116</v>
      </c>
      <c r="B117" s="13" t="n">
        <v>46324.8543287037</v>
      </c>
      <c r="C117" s="13" t="n">
        <v>46324.64599537037</v>
      </c>
      <c r="D117" s="13" t="n">
        <v>46324.81266203704</v>
      </c>
      <c r="E117" s="21" t="inlineStr">
        <is>
          <t>SELL</t>
        </is>
      </c>
      <c r="F117" s="6" t="inlineStr">
        <is>
          <t>ABBV</t>
        </is>
      </c>
      <c r="G117" s="15" t="n"/>
      <c r="H117" s="6" t="n"/>
      <c r="I117" s="6" t="inlineStr">
        <is>
          <t>filled</t>
        </is>
      </c>
      <c r="J117" s="16" t="n">
        <v>2.290483737</v>
      </c>
      <c r="K117" s="17" t="n">
        <v>289.706195</v>
      </c>
      <c r="L117" s="17">
        <f>IF(AND(ISNUMBER(J117),ISNUMBER(K117)),J117*K117,"")</f>
        <v/>
      </c>
      <c r="M117" s="17" t="n"/>
      <c r="N117" s="16" t="n">
        <v>2.290483737</v>
      </c>
      <c r="O117" s="6" t="inlineStr">
        <is>
          <t>evening under 5% (watchdog)</t>
        </is>
      </c>
      <c r="P117" s="15" t="inlineStr">
        <is>
          <t>Every-minute watchdog: evening rule, under +5% before the close</t>
        </is>
      </c>
      <c r="Q117" s="12" t="n"/>
      <c r="R117" s="6" t="n"/>
      <c r="S117" s="18" t="n"/>
      <c r="T117" s="12" t="n"/>
      <c r="U117" s="19" t="n"/>
      <c r="V117" s="19" t="n"/>
      <c r="W117" s="12" t="n"/>
      <c r="X117" s="6" t="n"/>
      <c r="Y117" s="19" t="n"/>
      <c r="Z117" s="6" t="n"/>
      <c r="AA117" s="12" t="n"/>
      <c r="AB117" s="15" t="n"/>
      <c r="AC117" s="6" t="n"/>
      <c r="AD117" s="6" t="n"/>
      <c r="AE117" s="17" t="n"/>
      <c r="AF117" s="17" t="n"/>
      <c r="AG117" s="17" t="n"/>
      <c r="AH117" s="20" t="n"/>
      <c r="AI117" s="18" t="n"/>
      <c r="AJ117" s="6" t="n"/>
      <c r="AK117" s="12" t="n"/>
      <c r="AL117" s="15" t="n"/>
      <c r="AM117" s="17" t="n"/>
      <c r="AN117" s="19" t="n"/>
      <c r="AO117" s="17" t="n"/>
      <c r="AP117" s="17" t="n"/>
      <c r="AQ117" s="19" t="n"/>
      <c r="AR117" s="16" t="n"/>
      <c r="AS117" s="17" t="n"/>
      <c r="AT117" s="19" t="n"/>
      <c r="AU117" s="6" t="inlineStr">
        <is>
          <t>paper</t>
        </is>
      </c>
      <c r="AV117" s="6" t="inlineStr">
        <is>
          <t>5c44e124-3b8e-49c8-8288-d302ffa068d2</t>
        </is>
      </c>
      <c r="AW117" s="6" t="inlineStr">
        <is>
          <t>tdagent-wd-evening-ABBV-1793302212504</t>
        </is>
      </c>
      <c r="AX117" s="13" t="n">
        <v>46324.81263888889</v>
      </c>
      <c r="AY117" s="13" t="n">
        <v>46324.81266203704</v>
      </c>
      <c r="AZ117" s="13" t="n"/>
      <c r="BA117" s="6" t="n"/>
    </row>
    <row r="118">
      <c r="A118" s="12" t="n">
        <v>117</v>
      </c>
      <c r="B118" s="13" t="n">
        <v>46324.85434027778</v>
      </c>
      <c r="C118" s="13" t="n">
        <v>46324.64600694444</v>
      </c>
      <c r="D118" s="13" t="n">
        <v>46324.81267361111</v>
      </c>
      <c r="E118" s="21" t="inlineStr">
        <is>
          <t>SELL</t>
        </is>
      </c>
      <c r="F118" s="6" t="inlineStr">
        <is>
          <t>ACN</t>
        </is>
      </c>
      <c r="G118" s="15" t="n"/>
      <c r="H118" s="6" t="n"/>
      <c r="I118" s="6" t="inlineStr">
        <is>
          <t>filled</t>
        </is>
      </c>
      <c r="J118" s="16" t="n">
        <v>1.363168471</v>
      </c>
      <c r="K118" s="17" t="n">
        <v>245.64</v>
      </c>
      <c r="L118" s="17">
        <f>IF(AND(ISNUMBER(J118),ISNUMBER(K118)),J118*K118,"")</f>
        <v/>
      </c>
      <c r="M118" s="17" t="n"/>
      <c r="N118" s="16" t="n">
        <v>1.363168471</v>
      </c>
      <c r="O118" s="6" t="inlineStr">
        <is>
          <t>evening under 5% (watchdog)</t>
        </is>
      </c>
      <c r="P118" s="15" t="inlineStr">
        <is>
          <t>Every-minute watchdog: evening rule, under +5% before the close</t>
        </is>
      </c>
      <c r="Q118" s="12" t="n"/>
      <c r="R118" s="6" t="n"/>
      <c r="S118" s="18" t="n"/>
      <c r="T118" s="12" t="n"/>
      <c r="U118" s="19" t="n"/>
      <c r="V118" s="19" t="n"/>
      <c r="W118" s="12" t="n"/>
      <c r="X118" s="6" t="n"/>
      <c r="Y118" s="19" t="n"/>
      <c r="Z118" s="6" t="n"/>
      <c r="AA118" s="12" t="n"/>
      <c r="AB118" s="15" t="n"/>
      <c r="AC118" s="6" t="n"/>
      <c r="AD118" s="6" t="n"/>
      <c r="AE118" s="17" t="n"/>
      <c r="AF118" s="17" t="n"/>
      <c r="AG118" s="17" t="n"/>
      <c r="AH118" s="20" t="n"/>
      <c r="AI118" s="18" t="n"/>
      <c r="AJ118" s="6" t="n"/>
      <c r="AK118" s="12" t="n"/>
      <c r="AL118" s="15" t="n"/>
      <c r="AM118" s="17" t="n"/>
      <c r="AN118" s="19" t="n"/>
      <c r="AO118" s="17" t="n"/>
      <c r="AP118" s="17" t="n"/>
      <c r="AQ118" s="19" t="n"/>
      <c r="AR118" s="16" t="n"/>
      <c r="AS118" s="17" t="n"/>
      <c r="AT118" s="19" t="n"/>
      <c r="AU118" s="6" t="inlineStr">
        <is>
          <t>paper</t>
        </is>
      </c>
      <c r="AV118" s="6" t="inlineStr">
        <is>
          <t>e708708c-b448-43a6-ae40-8b7efa5b803b</t>
        </is>
      </c>
      <c r="AW118" s="6" t="inlineStr">
        <is>
          <t>tdagent-wd-evening-ACN-1793302213623</t>
        </is>
      </c>
      <c r="AX118" s="13" t="n">
        <v>46324.81265046296</v>
      </c>
      <c r="AY118" s="13" t="n">
        <v>46324.81267361111</v>
      </c>
      <c r="AZ118" s="13" t="n"/>
      <c r="BA118" s="6" t="n"/>
    </row>
    <row r="119">
      <c r="A119" s="12" t="n">
        <v>118</v>
      </c>
      <c r="B119" s="13" t="n">
        <v>46324.85439814815</v>
      </c>
      <c r="C119" s="13" t="n">
        <v>46324.64606481481</v>
      </c>
      <c r="D119" s="13" t="n">
        <v>46324.81273148148</v>
      </c>
      <c r="E119" s="21" t="inlineStr">
        <is>
          <t>SELL</t>
        </is>
      </c>
      <c r="F119" s="6" t="inlineStr">
        <is>
          <t>ADI</t>
        </is>
      </c>
      <c r="G119" s="15" t="n"/>
      <c r="H119" s="6" t="n"/>
      <c r="I119" s="6" t="inlineStr">
        <is>
          <t>filled</t>
        </is>
      </c>
      <c r="J119" s="16" t="n">
        <v>19.536817436</v>
      </c>
      <c r="K119" s="17" t="n">
        <v>431.109505</v>
      </c>
      <c r="L119" s="17">
        <f>IF(AND(ISNUMBER(J119),ISNUMBER(K119)),J119*K119,"")</f>
        <v/>
      </c>
      <c r="M119" s="17" t="n"/>
      <c r="N119" s="16" t="n">
        <v>19.536817436</v>
      </c>
      <c r="O119" s="6" t="inlineStr">
        <is>
          <t>evening under 5% (watchdog)</t>
        </is>
      </c>
      <c r="P119" s="15" t="inlineStr">
        <is>
          <t>Every-minute watchdog: evening rule, under +5% before the close</t>
        </is>
      </c>
      <c r="Q119" s="12" t="n"/>
      <c r="R119" s="6" t="n"/>
      <c r="S119" s="18" t="n"/>
      <c r="T119" s="12" t="n"/>
      <c r="U119" s="19" t="n"/>
      <c r="V119" s="19" t="n"/>
      <c r="W119" s="12" t="n"/>
      <c r="X119" s="6" t="n"/>
      <c r="Y119" s="19" t="n"/>
      <c r="Z119" s="6" t="n"/>
      <c r="AA119" s="12" t="n"/>
      <c r="AB119" s="15" t="n"/>
      <c r="AC119" s="6" t="n"/>
      <c r="AD119" s="6" t="n"/>
      <c r="AE119" s="17" t="n"/>
      <c r="AF119" s="17" t="n"/>
      <c r="AG119" s="17" t="n"/>
      <c r="AH119" s="20" t="n"/>
      <c r="AI119" s="18" t="n"/>
      <c r="AJ119" s="6" t="n"/>
      <c r="AK119" s="12" t="n"/>
      <c r="AL119" s="15" t="n"/>
      <c r="AM119" s="17" t="n"/>
      <c r="AN119" s="19" t="n"/>
      <c r="AO119" s="17" t="n"/>
      <c r="AP119" s="17" t="n"/>
      <c r="AQ119" s="19" t="n"/>
      <c r="AR119" s="16" t="n"/>
      <c r="AS119" s="17" t="n"/>
      <c r="AT119" s="19" t="n"/>
      <c r="AU119" s="6" t="inlineStr">
        <is>
          <t>paper</t>
        </is>
      </c>
      <c r="AV119" s="6" t="inlineStr">
        <is>
          <t>91005add-93e1-43d8-a728-f2cf72ff6f9e</t>
        </is>
      </c>
      <c r="AW119" s="6" t="inlineStr">
        <is>
          <t>tdagent-wd-evening-ADI-1793302214716</t>
        </is>
      </c>
      <c r="AX119" s="13" t="n">
        <v>46324.81266203704</v>
      </c>
      <c r="AY119" s="13" t="n">
        <v>46324.81273148148</v>
      </c>
      <c r="AZ119" s="13" t="n"/>
      <c r="BA119" s="6" t="n"/>
    </row>
    <row r="120">
      <c r="A120" s="12" t="n">
        <v>119</v>
      </c>
      <c r="B120" s="13" t="n">
        <v>46324.8544212963</v>
      </c>
      <c r="C120" s="13" t="n">
        <v>46324.64608796296</v>
      </c>
      <c r="D120" s="13" t="n">
        <v>46324.81275462963</v>
      </c>
      <c r="E120" s="21" t="inlineStr">
        <is>
          <t>SELL</t>
        </is>
      </c>
      <c r="F120" s="6" t="inlineStr">
        <is>
          <t>ADP</t>
        </is>
      </c>
      <c r="G120" s="15" t="n"/>
      <c r="H120" s="6" t="n"/>
      <c r="I120" s="6" t="inlineStr">
        <is>
          <t>filled</t>
        </is>
      </c>
      <c r="J120" s="16" t="n">
        <v>28.879753624</v>
      </c>
      <c r="K120" s="17" t="n">
        <v>285.89</v>
      </c>
      <c r="L120" s="17">
        <f>IF(AND(ISNUMBER(J120),ISNUMBER(K120)),J120*K120,"")</f>
        <v/>
      </c>
      <c r="M120" s="17" t="n"/>
      <c r="N120" s="16" t="n">
        <v>28.879753624</v>
      </c>
      <c r="O120" s="6" t="inlineStr">
        <is>
          <t>evening under 5% (watchdog)</t>
        </is>
      </c>
      <c r="P120" s="15" t="inlineStr">
        <is>
          <t>Every-minute watchdog: evening rule, under +5% before the close</t>
        </is>
      </c>
      <c r="Q120" s="12" t="n"/>
      <c r="R120" s="6" t="n"/>
      <c r="S120" s="18" t="n"/>
      <c r="T120" s="12" t="n"/>
      <c r="U120" s="19" t="n"/>
      <c r="V120" s="19" t="n"/>
      <c r="W120" s="12" t="n"/>
      <c r="X120" s="6" t="n"/>
      <c r="Y120" s="19" t="n"/>
      <c r="Z120" s="6" t="n"/>
      <c r="AA120" s="12" t="n"/>
      <c r="AB120" s="15" t="n"/>
      <c r="AC120" s="6" t="n"/>
      <c r="AD120" s="6" t="n"/>
      <c r="AE120" s="17" t="n"/>
      <c r="AF120" s="17" t="n"/>
      <c r="AG120" s="17" t="n"/>
      <c r="AH120" s="20" t="n"/>
      <c r="AI120" s="18" t="n"/>
      <c r="AJ120" s="6" t="n"/>
      <c r="AK120" s="12" t="n"/>
      <c r="AL120" s="15" t="n"/>
      <c r="AM120" s="17" t="n"/>
      <c r="AN120" s="19" t="n"/>
      <c r="AO120" s="17" t="n"/>
      <c r="AP120" s="17" t="n"/>
      <c r="AQ120" s="19" t="n"/>
      <c r="AR120" s="16" t="n"/>
      <c r="AS120" s="17" t="n"/>
      <c r="AT120" s="19" t="n"/>
      <c r="AU120" s="6" t="inlineStr">
        <is>
          <t>paper</t>
        </is>
      </c>
      <c r="AV120" s="6" t="inlineStr">
        <is>
          <t>47489b81-e334-43f3-84f4-044d35788923</t>
        </is>
      </c>
      <c r="AW120" s="6" t="inlineStr">
        <is>
          <t>tdagent-wd-evening-ADP-1793302215802</t>
        </is>
      </c>
      <c r="AX120" s="13" t="n">
        <v>46324.81267361111</v>
      </c>
      <c r="AY120" s="13" t="n">
        <v>46324.81275462963</v>
      </c>
      <c r="AZ120" s="13" t="n"/>
      <c r="BA120" s="6" t="n"/>
    </row>
    <row r="121">
      <c r="A121" s="12" t="n">
        <v>120</v>
      </c>
      <c r="B121" s="13" t="n">
        <v>46324.85438657407</v>
      </c>
      <c r="C121" s="13" t="n">
        <v>46324.64605324074</v>
      </c>
      <c r="D121" s="13" t="n">
        <v>46324.81271990741</v>
      </c>
      <c r="E121" s="21" t="inlineStr">
        <is>
          <t>SELL</t>
        </is>
      </c>
      <c r="F121" s="6" t="inlineStr">
        <is>
          <t>DT</t>
        </is>
      </c>
      <c r="G121" s="15" t="n"/>
      <c r="H121" s="6" t="n"/>
      <c r="I121" s="6" t="inlineStr">
        <is>
          <t>filled</t>
        </is>
      </c>
      <c r="J121" s="16" t="n">
        <v>10.943045267</v>
      </c>
      <c r="K121" s="17" t="n">
        <v>60.63</v>
      </c>
      <c r="L121" s="17">
        <f>IF(AND(ISNUMBER(J121),ISNUMBER(K121)),J121*K121,"")</f>
        <v/>
      </c>
      <c r="M121" s="17" t="n"/>
      <c r="N121" s="16" t="n">
        <v>10.943045267</v>
      </c>
      <c r="O121" s="6" t="inlineStr">
        <is>
          <t>evening under 5% (watchdog)</t>
        </is>
      </c>
      <c r="P121" s="15" t="inlineStr">
        <is>
          <t>Every-minute watchdog: evening rule, under +5% before the close</t>
        </is>
      </c>
      <c r="Q121" s="12" t="n"/>
      <c r="R121" s="6" t="n"/>
      <c r="S121" s="18" t="n"/>
      <c r="T121" s="12" t="n"/>
      <c r="U121" s="19" t="n"/>
      <c r="V121" s="19" t="n"/>
      <c r="W121" s="12" t="n"/>
      <c r="X121" s="6" t="n"/>
      <c r="Y121" s="19" t="n"/>
      <c r="Z121" s="6" t="n"/>
      <c r="AA121" s="12" t="n"/>
      <c r="AB121" s="15" t="n"/>
      <c r="AC121" s="6" t="n"/>
      <c r="AD121" s="6" t="n"/>
      <c r="AE121" s="17" t="n"/>
      <c r="AF121" s="17" t="n"/>
      <c r="AG121" s="17" t="n"/>
      <c r="AH121" s="20" t="n"/>
      <c r="AI121" s="18" t="n"/>
      <c r="AJ121" s="6" t="n"/>
      <c r="AK121" s="12" t="n"/>
      <c r="AL121" s="15" t="n"/>
      <c r="AM121" s="17" t="n"/>
      <c r="AN121" s="19" t="n"/>
      <c r="AO121" s="17" t="n"/>
      <c r="AP121" s="17" t="n"/>
      <c r="AQ121" s="19" t="n"/>
      <c r="AR121" s="16" t="n"/>
      <c r="AS121" s="17" t="n"/>
      <c r="AT121" s="19" t="n"/>
      <c r="AU121" s="6" t="inlineStr">
        <is>
          <t>paper</t>
        </is>
      </c>
      <c r="AV121" s="6" t="inlineStr">
        <is>
          <t>70826b79-984c-44eb-99b9-5aa87a6349f8</t>
        </is>
      </c>
      <c r="AW121" s="6" t="inlineStr">
        <is>
          <t>tdagent-wd-evening-DT-1793302216891</t>
        </is>
      </c>
      <c r="AX121" s="13" t="n">
        <v>46324.81268518518</v>
      </c>
      <c r="AY121" s="13" t="n">
        <v>46324.81271990741</v>
      </c>
      <c r="AZ121" s="13" t="n"/>
      <c r="BA121" s="6" t="n"/>
    </row>
    <row r="122">
      <c r="A122" s="12" t="n">
        <v>121</v>
      </c>
      <c r="B122" s="13" t="n">
        <v>46324.85438657407</v>
      </c>
      <c r="C122" s="13" t="n">
        <v>46324.64605324074</v>
      </c>
      <c r="D122" s="13" t="n">
        <v>46324.81271990741</v>
      </c>
      <c r="E122" s="21" t="inlineStr">
        <is>
          <t>SELL</t>
        </is>
      </c>
      <c r="F122" s="6" t="inlineStr">
        <is>
          <t>DUK</t>
        </is>
      </c>
      <c r="G122" s="15" t="n"/>
      <c r="H122" s="6" t="n"/>
      <c r="I122" s="6" t="inlineStr">
        <is>
          <t>filled</t>
        </is>
      </c>
      <c r="J122" s="16" t="n">
        <v>5.287020836</v>
      </c>
      <c r="K122" s="17" t="n">
        <v>125.812435</v>
      </c>
      <c r="L122" s="17">
        <f>IF(AND(ISNUMBER(J122),ISNUMBER(K122)),J122*K122,"")</f>
        <v/>
      </c>
      <c r="M122" s="17" t="n"/>
      <c r="N122" s="16" t="n">
        <v>5.287020836</v>
      </c>
      <c r="O122" s="6" t="inlineStr">
        <is>
          <t>evening under 5% (watchdog)</t>
        </is>
      </c>
      <c r="P122" s="15" t="inlineStr">
        <is>
          <t>Every-minute watchdog: evening rule, under +5% before the close</t>
        </is>
      </c>
      <c r="Q122" s="12" t="n"/>
      <c r="R122" s="6" t="n"/>
      <c r="S122" s="18" t="n"/>
      <c r="T122" s="12" t="n"/>
      <c r="U122" s="19" t="n"/>
      <c r="V122" s="19" t="n"/>
      <c r="W122" s="12" t="n"/>
      <c r="X122" s="6" t="n"/>
      <c r="Y122" s="19" t="n"/>
      <c r="Z122" s="6" t="n"/>
      <c r="AA122" s="12" t="n"/>
      <c r="AB122" s="15" t="n"/>
      <c r="AC122" s="6" t="n"/>
      <c r="AD122" s="6" t="n"/>
      <c r="AE122" s="17" t="n"/>
      <c r="AF122" s="17" t="n"/>
      <c r="AG122" s="17" t="n"/>
      <c r="AH122" s="20" t="n"/>
      <c r="AI122" s="18" t="n"/>
      <c r="AJ122" s="6" t="n"/>
      <c r="AK122" s="12" t="n"/>
      <c r="AL122" s="15" t="n"/>
      <c r="AM122" s="17" t="n"/>
      <c r="AN122" s="19" t="n"/>
      <c r="AO122" s="17" t="n"/>
      <c r="AP122" s="17" t="n"/>
      <c r="AQ122" s="19" t="n"/>
      <c r="AR122" s="16" t="n"/>
      <c r="AS122" s="17" t="n"/>
      <c r="AT122" s="19" t="n"/>
      <c r="AU122" s="6" t="inlineStr">
        <is>
          <t>paper</t>
        </is>
      </c>
      <c r="AV122" s="6" t="inlineStr">
        <is>
          <t>348f6363-619c-4aa1-b358-aaa2b12b49b2</t>
        </is>
      </c>
      <c r="AW122" s="6" t="inlineStr">
        <is>
          <t>tdagent-wd-evening-DUK-1793302218019</t>
        </is>
      </c>
      <c r="AX122" s="13" t="n">
        <v>46324.81270833333</v>
      </c>
      <c r="AY122" s="13" t="n">
        <v>46324.81271990741</v>
      </c>
      <c r="AZ122" s="13" t="n"/>
      <c r="BA122" s="6" t="n"/>
    </row>
    <row r="123">
      <c r="A123" s="12" t="n">
        <v>122</v>
      </c>
      <c r="B123" s="13" t="n">
        <v>46324.85438657407</v>
      </c>
      <c r="C123" s="13" t="n">
        <v>46324.64605324074</v>
      </c>
      <c r="D123" s="13" t="n">
        <v>46324.81271990741</v>
      </c>
      <c r="E123" s="21" t="inlineStr">
        <is>
          <t>SELL</t>
        </is>
      </c>
      <c r="F123" s="6" t="inlineStr">
        <is>
          <t>EQNR</t>
        </is>
      </c>
      <c r="G123" s="15" t="n"/>
      <c r="H123" s="6" t="n"/>
      <c r="I123" s="6" t="inlineStr">
        <is>
          <t>filled</t>
        </is>
      </c>
      <c r="J123" s="16" t="n">
        <v>14.117434699</v>
      </c>
      <c r="K123" s="17" t="n">
        <v>47.39</v>
      </c>
      <c r="L123" s="17">
        <f>IF(AND(ISNUMBER(J123),ISNUMBER(K123)),J123*K123,"")</f>
        <v/>
      </c>
      <c r="M123" s="17" t="n"/>
      <c r="N123" s="16" t="n">
        <v>14.117434699</v>
      </c>
      <c r="O123" s="6" t="inlineStr">
        <is>
          <t>evening under 5% (watchdog)</t>
        </is>
      </c>
      <c r="P123" s="15" t="inlineStr">
        <is>
          <t>Every-minute watchdog: evening rule, under +5% before the close</t>
        </is>
      </c>
      <c r="Q123" s="12" t="n"/>
      <c r="R123" s="6" t="n"/>
      <c r="S123" s="18" t="n"/>
      <c r="T123" s="12" t="n"/>
      <c r="U123" s="19" t="n"/>
      <c r="V123" s="19" t="n"/>
      <c r="W123" s="12" t="n"/>
      <c r="X123" s="6" t="n"/>
      <c r="Y123" s="19" t="n"/>
      <c r="Z123" s="6" t="n"/>
      <c r="AA123" s="12" t="n"/>
      <c r="AB123" s="15" t="n"/>
      <c r="AC123" s="6" t="n"/>
      <c r="AD123" s="6" t="n"/>
      <c r="AE123" s="17" t="n"/>
      <c r="AF123" s="17" t="n"/>
      <c r="AG123" s="17" t="n"/>
      <c r="AH123" s="20" t="n"/>
      <c r="AI123" s="18" t="n"/>
      <c r="AJ123" s="6" t="n"/>
      <c r="AK123" s="12" t="n"/>
      <c r="AL123" s="15" t="n"/>
      <c r="AM123" s="17" t="n"/>
      <c r="AN123" s="19" t="n"/>
      <c r="AO123" s="17" t="n"/>
      <c r="AP123" s="17" t="n"/>
      <c r="AQ123" s="19" t="n"/>
      <c r="AR123" s="16" t="n"/>
      <c r="AS123" s="17" t="n"/>
      <c r="AT123" s="19" t="n"/>
      <c r="AU123" s="6" t="inlineStr">
        <is>
          <t>paper</t>
        </is>
      </c>
      <c r="AV123" s="6" t="inlineStr">
        <is>
          <t>6ad8f539-215e-4c7d-a884-078aac8ed06e</t>
        </is>
      </c>
      <c r="AW123" s="6" t="inlineStr">
        <is>
          <t>tdagent-wd-evening-EQNR-1793302219116</t>
        </is>
      </c>
      <c r="AX123" s="13" t="n">
        <v>46324.81271990741</v>
      </c>
      <c r="AY123" s="13" t="n">
        <v>46324.81271990741</v>
      </c>
      <c r="AZ123" s="13" t="n"/>
      <c r="BA123" s="6" t="n"/>
    </row>
    <row r="124">
      <c r="A124" s="12" t="n">
        <v>123</v>
      </c>
      <c r="B124" s="13" t="n">
        <v>46324.85445601852</v>
      </c>
      <c r="C124" s="13" t="n">
        <v>46324.64612268518</v>
      </c>
      <c r="D124" s="13" t="n">
        <v>46324.81278935185</v>
      </c>
      <c r="E124" s="21" t="inlineStr">
        <is>
          <t>SELL</t>
        </is>
      </c>
      <c r="F124" s="6" t="inlineStr">
        <is>
          <t>IQV</t>
        </is>
      </c>
      <c r="G124" s="15" t="n"/>
      <c r="H124" s="6" t="n"/>
      <c r="I124" s="6" t="inlineStr">
        <is>
          <t>filled</t>
        </is>
      </c>
      <c r="J124" s="16" t="n">
        <v>30.075531531</v>
      </c>
      <c r="K124" s="17" t="n">
        <v>273.44</v>
      </c>
      <c r="L124" s="17">
        <f>IF(AND(ISNUMBER(J124),ISNUMBER(K124)),J124*K124,"")</f>
        <v/>
      </c>
      <c r="M124" s="17" t="n"/>
      <c r="N124" s="16" t="n">
        <v>30.075531531</v>
      </c>
      <c r="O124" s="6" t="inlineStr">
        <is>
          <t>evening under 5% (watchdog)</t>
        </is>
      </c>
      <c r="P124" s="15" t="inlineStr">
        <is>
          <t>Every-minute watchdog: evening rule, under +5% before the close</t>
        </is>
      </c>
      <c r="Q124" s="12" t="n"/>
      <c r="R124" s="6" t="n"/>
      <c r="S124" s="18" t="n"/>
      <c r="T124" s="12" t="n"/>
      <c r="U124" s="19" t="n"/>
      <c r="V124" s="19" t="n"/>
      <c r="W124" s="12" t="n"/>
      <c r="X124" s="6" t="n"/>
      <c r="Y124" s="19" t="n"/>
      <c r="Z124" s="6" t="n"/>
      <c r="AA124" s="12" t="n"/>
      <c r="AB124" s="15" t="n"/>
      <c r="AC124" s="6" t="n"/>
      <c r="AD124" s="6" t="n"/>
      <c r="AE124" s="17" t="n"/>
      <c r="AF124" s="17" t="n"/>
      <c r="AG124" s="17" t="n"/>
      <c r="AH124" s="20" t="n"/>
      <c r="AI124" s="18" t="n"/>
      <c r="AJ124" s="6" t="n"/>
      <c r="AK124" s="12" t="n"/>
      <c r="AL124" s="15" t="n"/>
      <c r="AM124" s="17" t="n"/>
      <c r="AN124" s="19" t="n"/>
      <c r="AO124" s="17" t="n"/>
      <c r="AP124" s="17" t="n"/>
      <c r="AQ124" s="19" t="n"/>
      <c r="AR124" s="16" t="n"/>
      <c r="AS124" s="17" t="n"/>
      <c r="AT124" s="19" t="n"/>
      <c r="AU124" s="6" t="inlineStr">
        <is>
          <t>paper</t>
        </is>
      </c>
      <c r="AV124" s="6" t="inlineStr">
        <is>
          <t>f5de0c37-168f-4a39-a590-8f5f3a72ee8e</t>
        </is>
      </c>
      <c r="AW124" s="6" t="inlineStr">
        <is>
          <t>tdagent-wd-evening-IQV-1793302220210</t>
        </is>
      </c>
      <c r="AX124" s="13" t="n">
        <v>46324.81273148148</v>
      </c>
      <c r="AY124" s="13" t="n">
        <v>46324.81278935185</v>
      </c>
      <c r="AZ124" s="13" t="n"/>
      <c r="BA124" s="6" t="n"/>
    </row>
    <row r="125">
      <c r="A125" s="12" t="n">
        <v>124</v>
      </c>
      <c r="B125" s="13" t="n">
        <v>46324.8544212963</v>
      </c>
      <c r="C125" s="13" t="n">
        <v>46324.64608796296</v>
      </c>
      <c r="D125" s="13" t="n">
        <v>46324.81275462963</v>
      </c>
      <c r="E125" s="21" t="inlineStr">
        <is>
          <t>SELL</t>
        </is>
      </c>
      <c r="F125" s="6" t="inlineStr">
        <is>
          <t>ISRG</t>
        </is>
      </c>
      <c r="G125" s="15" t="n"/>
      <c r="H125" s="6" t="n"/>
      <c r="I125" s="6" t="inlineStr">
        <is>
          <t>filled</t>
        </is>
      </c>
      <c r="J125" s="16" t="n">
        <v>18.645716072</v>
      </c>
      <c r="K125" s="17" t="n">
        <v>447.605811</v>
      </c>
      <c r="L125" s="17">
        <f>IF(AND(ISNUMBER(J125),ISNUMBER(K125)),J125*K125,"")</f>
        <v/>
      </c>
      <c r="M125" s="17" t="n"/>
      <c r="N125" s="16" t="n">
        <v>18.645716072</v>
      </c>
      <c r="O125" s="6" t="inlineStr">
        <is>
          <t>evening under 5% (watchdog)</t>
        </is>
      </c>
      <c r="P125" s="15" t="inlineStr">
        <is>
          <t>Every-minute watchdog: evening rule, under +5% before the close</t>
        </is>
      </c>
      <c r="Q125" s="12" t="n"/>
      <c r="R125" s="6" t="n"/>
      <c r="S125" s="18" t="n"/>
      <c r="T125" s="12" t="n"/>
      <c r="U125" s="19" t="n"/>
      <c r="V125" s="19" t="n"/>
      <c r="W125" s="12" t="n"/>
      <c r="X125" s="6" t="n"/>
      <c r="Y125" s="19" t="n"/>
      <c r="Z125" s="6" t="n"/>
      <c r="AA125" s="12" t="n"/>
      <c r="AB125" s="15" t="n"/>
      <c r="AC125" s="6" t="n"/>
      <c r="AD125" s="6" t="n"/>
      <c r="AE125" s="17" t="n"/>
      <c r="AF125" s="17" t="n"/>
      <c r="AG125" s="17" t="n"/>
      <c r="AH125" s="20" t="n"/>
      <c r="AI125" s="18" t="n"/>
      <c r="AJ125" s="6" t="n"/>
      <c r="AK125" s="12" t="n"/>
      <c r="AL125" s="15" t="n"/>
      <c r="AM125" s="17" t="n"/>
      <c r="AN125" s="19" t="n"/>
      <c r="AO125" s="17" t="n"/>
      <c r="AP125" s="17" t="n"/>
      <c r="AQ125" s="19" t="n"/>
      <c r="AR125" s="16" t="n"/>
      <c r="AS125" s="17" t="n"/>
      <c r="AT125" s="19" t="n"/>
      <c r="AU125" s="6" t="inlineStr">
        <is>
          <t>paper</t>
        </is>
      </c>
      <c r="AV125" s="6" t="inlineStr">
        <is>
          <t>791db3a1-fc31-49d0-a38c-66748711cab6</t>
        </is>
      </c>
      <c r="AW125" s="6" t="inlineStr">
        <is>
          <t>tdagent-wd-evening-ISRG-1793302221336</t>
        </is>
      </c>
      <c r="AX125" s="13" t="n">
        <v>46324.81274305555</v>
      </c>
      <c r="AY125" s="13" t="n">
        <v>46324.81275462963</v>
      </c>
      <c r="AZ125" s="13" t="n"/>
      <c r="BA125" s="6" t="n"/>
    </row>
    <row r="126">
      <c r="A126" s="12" t="n">
        <v>125</v>
      </c>
      <c r="B126" s="13" t="n">
        <v>46324.85443287037</v>
      </c>
      <c r="C126" s="13" t="n">
        <v>46324.64609953704</v>
      </c>
      <c r="D126" s="13" t="n">
        <v>46324.8127662037</v>
      </c>
      <c r="E126" s="21" t="inlineStr">
        <is>
          <t>SELL</t>
        </is>
      </c>
      <c r="F126" s="6" t="inlineStr">
        <is>
          <t>KR</t>
        </is>
      </c>
      <c r="G126" s="15" t="n"/>
      <c r="H126" s="6" t="n"/>
      <c r="I126" s="6" t="inlineStr">
        <is>
          <t>filled</t>
        </is>
      </c>
      <c r="J126" s="16" t="n">
        <v>10.152565668</v>
      </c>
      <c r="K126" s="17" t="n">
        <v>65.98</v>
      </c>
      <c r="L126" s="17">
        <f>IF(AND(ISNUMBER(J126),ISNUMBER(K126)),J126*K126,"")</f>
        <v/>
      </c>
      <c r="M126" s="17" t="n"/>
      <c r="N126" s="16" t="n">
        <v>10.152565668</v>
      </c>
      <c r="O126" s="6" t="inlineStr">
        <is>
          <t>evening under 5% (watchdog)</t>
        </is>
      </c>
      <c r="P126" s="15" t="inlineStr">
        <is>
          <t>Every-minute watchdog: evening rule, under +5% before the close</t>
        </is>
      </c>
      <c r="Q126" s="12" t="n"/>
      <c r="R126" s="6" t="n"/>
      <c r="S126" s="18" t="n"/>
      <c r="T126" s="12" t="n"/>
      <c r="U126" s="19" t="n"/>
      <c r="V126" s="19" t="n"/>
      <c r="W126" s="12" t="n"/>
      <c r="X126" s="6" t="n"/>
      <c r="Y126" s="19" t="n"/>
      <c r="Z126" s="6" t="n"/>
      <c r="AA126" s="12" t="n"/>
      <c r="AB126" s="15" t="n"/>
      <c r="AC126" s="6" t="n"/>
      <c r="AD126" s="6" t="n"/>
      <c r="AE126" s="17" t="n"/>
      <c r="AF126" s="17" t="n"/>
      <c r="AG126" s="17" t="n"/>
      <c r="AH126" s="20" t="n"/>
      <c r="AI126" s="18" t="n"/>
      <c r="AJ126" s="6" t="n"/>
      <c r="AK126" s="12" t="n"/>
      <c r="AL126" s="15" t="n"/>
      <c r="AM126" s="17" t="n"/>
      <c r="AN126" s="19" t="n"/>
      <c r="AO126" s="17" t="n"/>
      <c r="AP126" s="17" t="n"/>
      <c r="AQ126" s="19" t="n"/>
      <c r="AR126" s="16" t="n"/>
      <c r="AS126" s="17" t="n"/>
      <c r="AT126" s="19" t="n"/>
      <c r="AU126" s="6" t="inlineStr">
        <is>
          <t>paper</t>
        </is>
      </c>
      <c r="AV126" s="6" t="inlineStr">
        <is>
          <t>12ae221a-1a89-4f87-8f12-4aa502131b8b</t>
        </is>
      </c>
      <c r="AW126" s="6" t="inlineStr">
        <is>
          <t>tdagent-wd-evening-KR-1793302222404</t>
        </is>
      </c>
      <c r="AX126" s="13" t="n">
        <v>46324.81275462963</v>
      </c>
      <c r="AY126" s="13" t="n">
        <v>46324.8127662037</v>
      </c>
      <c r="AZ126" s="13" t="n"/>
      <c r="BA126" s="6" t="n"/>
    </row>
    <row r="127">
      <c r="A127" s="12" t="n">
        <v>126</v>
      </c>
      <c r="B127" s="13" t="n">
        <v>46324.85443287037</v>
      </c>
      <c r="C127" s="13" t="n">
        <v>46324.64609953704</v>
      </c>
      <c r="D127" s="13" t="n">
        <v>46324.8127662037</v>
      </c>
      <c r="E127" s="21" t="inlineStr">
        <is>
          <t>SELL</t>
        </is>
      </c>
      <c r="F127" s="6" t="inlineStr">
        <is>
          <t>LIN</t>
        </is>
      </c>
      <c r="G127" s="15" t="n"/>
      <c r="H127" s="6" t="n"/>
      <c r="I127" s="6" t="inlineStr">
        <is>
          <t>filled</t>
        </is>
      </c>
      <c r="J127" s="16" t="n">
        <v>0.662854465</v>
      </c>
      <c r="K127" s="17" t="n">
        <v>502.036</v>
      </c>
      <c r="L127" s="17">
        <f>IF(AND(ISNUMBER(J127),ISNUMBER(K127)),J127*K127,"")</f>
        <v/>
      </c>
      <c r="M127" s="17" t="n"/>
      <c r="N127" s="16" t="n">
        <v>0.662854465</v>
      </c>
      <c r="O127" s="6" t="inlineStr">
        <is>
          <t>evening under 5% (watchdog)</t>
        </is>
      </c>
      <c r="P127" s="15" t="inlineStr">
        <is>
          <t>Every-minute watchdog: evening rule, under +5% before the close</t>
        </is>
      </c>
      <c r="Q127" s="12" t="n"/>
      <c r="R127" s="6" t="n"/>
      <c r="S127" s="18" t="n"/>
      <c r="T127" s="12" t="n"/>
      <c r="U127" s="19" t="n"/>
      <c r="V127" s="19" t="n"/>
      <c r="W127" s="12" t="n"/>
      <c r="X127" s="6" t="n"/>
      <c r="Y127" s="19" t="n"/>
      <c r="Z127" s="6" t="n"/>
      <c r="AA127" s="12" t="n"/>
      <c r="AB127" s="15" t="n"/>
      <c r="AC127" s="6" t="n"/>
      <c r="AD127" s="6" t="n"/>
      <c r="AE127" s="17" t="n"/>
      <c r="AF127" s="17" t="n"/>
      <c r="AG127" s="17" t="n"/>
      <c r="AH127" s="20" t="n"/>
      <c r="AI127" s="18" t="n"/>
      <c r="AJ127" s="6" t="n"/>
      <c r="AK127" s="12" t="n"/>
      <c r="AL127" s="15" t="n"/>
      <c r="AM127" s="17" t="n"/>
      <c r="AN127" s="19" t="n"/>
      <c r="AO127" s="17" t="n"/>
      <c r="AP127" s="17" t="n"/>
      <c r="AQ127" s="19" t="n"/>
      <c r="AR127" s="16" t="n"/>
      <c r="AS127" s="17" t="n"/>
      <c r="AT127" s="19" t="n"/>
      <c r="AU127" s="6" t="inlineStr">
        <is>
          <t>paper</t>
        </is>
      </c>
      <c r="AV127" s="6" t="inlineStr">
        <is>
          <t>8b50e38b-e426-4498-90ee-f675c33ee23f</t>
        </is>
      </c>
      <c r="AW127" s="6" t="inlineStr">
        <is>
          <t>tdagent-wd-evening-LIN-1793302223485</t>
        </is>
      </c>
      <c r="AX127" s="13" t="n">
        <v>46324.8127662037</v>
      </c>
      <c r="AY127" s="13" t="n">
        <v>46324.8127662037</v>
      </c>
      <c r="AZ127" s="13" t="n"/>
      <c r="BA127" s="6" t="n"/>
    </row>
    <row r="128">
      <c r="A128" s="12" t="n">
        <v>127</v>
      </c>
      <c r="B128" s="13" t="n">
        <v>46324.85445601852</v>
      </c>
      <c r="C128" s="13" t="n">
        <v>46324.64612268518</v>
      </c>
      <c r="D128" s="13" t="n">
        <v>46324.81278935185</v>
      </c>
      <c r="E128" s="21" t="inlineStr">
        <is>
          <t>SELL</t>
        </is>
      </c>
      <c r="F128" s="6" t="inlineStr">
        <is>
          <t>MA</t>
        </is>
      </c>
      <c r="G128" s="15" t="n"/>
      <c r="H128" s="6" t="n"/>
      <c r="I128" s="6" t="inlineStr">
        <is>
          <t>filled</t>
        </is>
      </c>
      <c r="J128" s="16" t="n">
        <v>13.053417297</v>
      </c>
      <c r="K128" s="17" t="n">
        <v>637</v>
      </c>
      <c r="L128" s="17">
        <f>IF(AND(ISNUMBER(J128),ISNUMBER(K128)),J128*K128,"")</f>
        <v/>
      </c>
      <c r="M128" s="17" t="n"/>
      <c r="N128" s="16" t="n">
        <v>13.053417297</v>
      </c>
      <c r="O128" s="6" t="inlineStr">
        <is>
          <t>evening under 5% (watchdog)</t>
        </is>
      </c>
      <c r="P128" s="15" t="inlineStr">
        <is>
          <t>Every-minute watchdog: evening rule, under +5% before the close</t>
        </is>
      </c>
      <c r="Q128" s="12" t="n"/>
      <c r="R128" s="6" t="n"/>
      <c r="S128" s="18" t="n"/>
      <c r="T128" s="12" t="n"/>
      <c r="U128" s="19" t="n"/>
      <c r="V128" s="19" t="n"/>
      <c r="W128" s="12" t="n"/>
      <c r="X128" s="6" t="n"/>
      <c r="Y128" s="19" t="n"/>
      <c r="Z128" s="6" t="n"/>
      <c r="AA128" s="12" t="n"/>
      <c r="AB128" s="15" t="n"/>
      <c r="AC128" s="6" t="n"/>
      <c r="AD128" s="6" t="n"/>
      <c r="AE128" s="17" t="n"/>
      <c r="AF128" s="17" t="n"/>
      <c r="AG128" s="17" t="n"/>
      <c r="AH128" s="20" t="n"/>
      <c r="AI128" s="18" t="n"/>
      <c r="AJ128" s="6" t="n"/>
      <c r="AK128" s="12" t="n"/>
      <c r="AL128" s="15" t="n"/>
      <c r="AM128" s="17" t="n"/>
      <c r="AN128" s="19" t="n"/>
      <c r="AO128" s="17" t="n"/>
      <c r="AP128" s="17" t="n"/>
      <c r="AQ128" s="19" t="n"/>
      <c r="AR128" s="16" t="n"/>
      <c r="AS128" s="17" t="n"/>
      <c r="AT128" s="19" t="n"/>
      <c r="AU128" s="6" t="inlineStr">
        <is>
          <t>paper</t>
        </is>
      </c>
      <c r="AV128" s="6" t="inlineStr">
        <is>
          <t>1b141de1-e91d-41ba-99de-554f42f3eb60</t>
        </is>
      </c>
      <c r="AW128" s="6" t="inlineStr">
        <is>
          <t>tdagent-wd-evening-MA-1793302224558</t>
        </is>
      </c>
      <c r="AX128" s="13" t="n">
        <v>46324.81277777778</v>
      </c>
      <c r="AY128" s="13" t="n">
        <v>46324.81278935185</v>
      </c>
      <c r="AZ128" s="13" t="n"/>
      <c r="BA128" s="6" t="n"/>
    </row>
    <row r="129">
      <c r="A129" s="12" t="n">
        <v>128</v>
      </c>
      <c r="B129" s="13" t="n">
        <v>46324.85450231482</v>
      </c>
      <c r="C129" s="13" t="n">
        <v>46324.64616898148</v>
      </c>
      <c r="D129" s="13" t="n">
        <v>46324.81283564815</v>
      </c>
      <c r="E129" s="21" t="inlineStr">
        <is>
          <t>SELL</t>
        </is>
      </c>
      <c r="F129" s="6" t="inlineStr">
        <is>
          <t>MCK</t>
        </is>
      </c>
      <c r="G129" s="15" t="n"/>
      <c r="H129" s="6" t="n"/>
      <c r="I129" s="6" t="inlineStr">
        <is>
          <t>filled</t>
        </is>
      </c>
      <c r="J129" s="16" t="n">
        <v>8.556874402</v>
      </c>
      <c r="K129" s="17" t="n">
        <v>972.61</v>
      </c>
      <c r="L129" s="17">
        <f>IF(AND(ISNUMBER(J129),ISNUMBER(K129)),J129*K129,"")</f>
        <v/>
      </c>
      <c r="M129" s="17" t="n"/>
      <c r="N129" s="16" t="n">
        <v>8.556874402</v>
      </c>
      <c r="O129" s="6" t="inlineStr">
        <is>
          <t>evening under 5% (watchdog)</t>
        </is>
      </c>
      <c r="P129" s="15" t="inlineStr">
        <is>
          <t>Every-minute watchdog: evening rule, under +5% before the close</t>
        </is>
      </c>
      <c r="Q129" s="12" t="n"/>
      <c r="R129" s="6" t="n"/>
      <c r="S129" s="18" t="n"/>
      <c r="T129" s="12" t="n"/>
      <c r="U129" s="19" t="n"/>
      <c r="V129" s="19" t="n"/>
      <c r="W129" s="12" t="n"/>
      <c r="X129" s="6" t="n"/>
      <c r="Y129" s="19" t="n"/>
      <c r="Z129" s="6" t="n"/>
      <c r="AA129" s="12" t="n"/>
      <c r="AB129" s="15" t="n"/>
      <c r="AC129" s="6" t="n"/>
      <c r="AD129" s="6" t="n"/>
      <c r="AE129" s="17" t="n"/>
      <c r="AF129" s="17" t="n"/>
      <c r="AG129" s="17" t="n"/>
      <c r="AH129" s="20" t="n"/>
      <c r="AI129" s="18" t="n"/>
      <c r="AJ129" s="6" t="n"/>
      <c r="AK129" s="12" t="n"/>
      <c r="AL129" s="15" t="n"/>
      <c r="AM129" s="17" t="n"/>
      <c r="AN129" s="19" t="n"/>
      <c r="AO129" s="17" t="n"/>
      <c r="AP129" s="17" t="n"/>
      <c r="AQ129" s="19" t="n"/>
      <c r="AR129" s="16" t="n"/>
      <c r="AS129" s="17" t="n"/>
      <c r="AT129" s="19" t="n"/>
      <c r="AU129" s="6" t="inlineStr">
        <is>
          <t>paper</t>
        </is>
      </c>
      <c r="AV129" s="6" t="inlineStr">
        <is>
          <t>58882f88-fc2f-4f06-a730-ccd4bc3689f0</t>
        </is>
      </c>
      <c r="AW129" s="6" t="inlineStr">
        <is>
          <t>tdagent-wd-evening-MCK-1793302225650</t>
        </is>
      </c>
      <c r="AX129" s="13" t="n">
        <v>46324.81278935185</v>
      </c>
      <c r="AY129" s="13" t="n">
        <v>46324.81283564815</v>
      </c>
      <c r="AZ129" s="13" t="n"/>
      <c r="BA129" s="6" t="n"/>
    </row>
    <row r="130">
      <c r="A130" s="12" t="n">
        <v>129</v>
      </c>
      <c r="B130" s="13" t="n">
        <v>46324.85450231482</v>
      </c>
      <c r="C130" s="13" t="n">
        <v>46324.64616898148</v>
      </c>
      <c r="D130" s="13" t="n">
        <v>46324.81283564815</v>
      </c>
      <c r="E130" s="21" t="inlineStr">
        <is>
          <t>SELL</t>
        </is>
      </c>
      <c r="F130" s="6" t="inlineStr">
        <is>
          <t>MNST</t>
        </is>
      </c>
      <c r="G130" s="15" t="n"/>
      <c r="H130" s="6" t="n"/>
      <c r="I130" s="6" t="inlineStr">
        <is>
          <t>filled</t>
        </is>
      </c>
      <c r="J130" s="16" t="n">
        <v>41.930066911</v>
      </c>
      <c r="K130" s="17" t="n">
        <v>46.32</v>
      </c>
      <c r="L130" s="17">
        <f>IF(AND(ISNUMBER(J130),ISNUMBER(K130)),J130*K130,"")</f>
        <v/>
      </c>
      <c r="M130" s="17" t="n"/>
      <c r="N130" s="16" t="n">
        <v>41.930066911</v>
      </c>
      <c r="O130" s="6" t="inlineStr">
        <is>
          <t>evening under 5% (watchdog)</t>
        </is>
      </c>
      <c r="P130" s="15" t="inlineStr">
        <is>
          <t>Every-minute watchdog: evening rule, under +5% before the close</t>
        </is>
      </c>
      <c r="Q130" s="12" t="n"/>
      <c r="R130" s="6" t="n"/>
      <c r="S130" s="18" t="n"/>
      <c r="T130" s="12" t="n"/>
      <c r="U130" s="19" t="n"/>
      <c r="V130" s="19" t="n"/>
      <c r="W130" s="12" t="n"/>
      <c r="X130" s="6" t="n"/>
      <c r="Y130" s="19" t="n"/>
      <c r="Z130" s="6" t="n"/>
      <c r="AA130" s="12" t="n"/>
      <c r="AB130" s="15" t="n"/>
      <c r="AC130" s="6" t="n"/>
      <c r="AD130" s="6" t="n"/>
      <c r="AE130" s="17" t="n"/>
      <c r="AF130" s="17" t="n"/>
      <c r="AG130" s="17" t="n"/>
      <c r="AH130" s="20" t="n"/>
      <c r="AI130" s="18" t="n"/>
      <c r="AJ130" s="6" t="n"/>
      <c r="AK130" s="12" t="n"/>
      <c r="AL130" s="15" t="n"/>
      <c r="AM130" s="17" t="n"/>
      <c r="AN130" s="19" t="n"/>
      <c r="AO130" s="17" t="n"/>
      <c r="AP130" s="17" t="n"/>
      <c r="AQ130" s="19" t="n"/>
      <c r="AR130" s="16" t="n"/>
      <c r="AS130" s="17" t="n"/>
      <c r="AT130" s="19" t="n"/>
      <c r="AU130" s="6" t="inlineStr">
        <is>
          <t>paper</t>
        </is>
      </c>
      <c r="AV130" s="6" t="inlineStr">
        <is>
          <t>5d595309-9547-4900-8434-57839c5a42d9</t>
        </is>
      </c>
      <c r="AW130" s="6" t="inlineStr">
        <is>
          <t>tdagent-wd-evening-MNST-1793302226953</t>
        </is>
      </c>
      <c r="AX130" s="13" t="n">
        <v>46324.8128125</v>
      </c>
      <c r="AY130" s="13" t="n">
        <v>46324.81283564815</v>
      </c>
      <c r="AZ130" s="13" t="n"/>
      <c r="BA130" s="6" t="n"/>
    </row>
    <row r="131">
      <c r="A131" s="12" t="n">
        <v>130</v>
      </c>
      <c r="B131" s="13" t="n">
        <v>46324.85451388889</v>
      </c>
      <c r="C131" s="13" t="n">
        <v>46324.64618055556</v>
      </c>
      <c r="D131" s="13" t="n">
        <v>46324.81284722222</v>
      </c>
      <c r="E131" s="21" t="inlineStr">
        <is>
          <t>SELL</t>
        </is>
      </c>
      <c r="F131" s="6" t="inlineStr">
        <is>
          <t>NTRA</t>
        </is>
      </c>
      <c r="G131" s="15" t="n"/>
      <c r="H131" s="6" t="n"/>
      <c r="I131" s="6" t="inlineStr">
        <is>
          <t>filled</t>
        </is>
      </c>
      <c r="J131" s="16" t="n">
        <v>19.644723215</v>
      </c>
      <c r="K131" s="17" t="n">
        <v>430.31</v>
      </c>
      <c r="L131" s="17">
        <f>IF(AND(ISNUMBER(J131),ISNUMBER(K131)),J131*K131,"")</f>
        <v/>
      </c>
      <c r="M131" s="17" t="n"/>
      <c r="N131" s="16" t="n">
        <v>19.644723215</v>
      </c>
      <c r="O131" s="6" t="inlineStr">
        <is>
          <t>evening under 5% (watchdog)</t>
        </is>
      </c>
      <c r="P131" s="15" t="inlineStr">
        <is>
          <t>Every-minute watchdog: evening rule, under +5% before the close</t>
        </is>
      </c>
      <c r="Q131" s="12" t="n"/>
      <c r="R131" s="6" t="n"/>
      <c r="S131" s="18" t="n"/>
      <c r="T131" s="12" t="n"/>
      <c r="U131" s="19" t="n"/>
      <c r="V131" s="19" t="n"/>
      <c r="W131" s="12" t="n"/>
      <c r="X131" s="6" t="n"/>
      <c r="Y131" s="19" t="n"/>
      <c r="Z131" s="6" t="n"/>
      <c r="AA131" s="12" t="n"/>
      <c r="AB131" s="15" t="n"/>
      <c r="AC131" s="6" t="n"/>
      <c r="AD131" s="6" t="n"/>
      <c r="AE131" s="17" t="n"/>
      <c r="AF131" s="17" t="n"/>
      <c r="AG131" s="17" t="n"/>
      <c r="AH131" s="20" t="n"/>
      <c r="AI131" s="18" t="n"/>
      <c r="AJ131" s="6" t="n"/>
      <c r="AK131" s="12" t="n"/>
      <c r="AL131" s="15" t="n"/>
      <c r="AM131" s="17" t="n"/>
      <c r="AN131" s="19" t="n"/>
      <c r="AO131" s="17" t="n"/>
      <c r="AP131" s="17" t="n"/>
      <c r="AQ131" s="19" t="n"/>
      <c r="AR131" s="16" t="n"/>
      <c r="AS131" s="17" t="n"/>
      <c r="AT131" s="19" t="n"/>
      <c r="AU131" s="6" t="inlineStr">
        <is>
          <t>paper</t>
        </is>
      </c>
      <c r="AV131" s="6" t="inlineStr">
        <is>
          <t>2525d2a0-c046-4536-be04-c49f21c0f9ed</t>
        </is>
      </c>
      <c r="AW131" s="6" t="inlineStr">
        <is>
          <t>tdagent-wd-evening-NTRA-1793302228020</t>
        </is>
      </c>
      <c r="AX131" s="13" t="n">
        <v>46324.81282407408</v>
      </c>
      <c r="AY131" s="13" t="n">
        <v>46324.81284722222</v>
      </c>
      <c r="AZ131" s="13" t="n"/>
      <c r="BA131" s="6" t="n"/>
    </row>
    <row r="132">
      <c r="A132" s="12" t="n">
        <v>131</v>
      </c>
      <c r="B132" s="13" t="n">
        <v>46324.85458333333</v>
      </c>
      <c r="C132" s="13" t="n">
        <v>46324.64625</v>
      </c>
      <c r="D132" s="13" t="n">
        <v>46324.81291666667</v>
      </c>
      <c r="E132" s="21" t="inlineStr">
        <is>
          <t>SELL</t>
        </is>
      </c>
      <c r="F132" s="6" t="inlineStr">
        <is>
          <t>OXY</t>
        </is>
      </c>
      <c r="G132" s="15" t="n"/>
      <c r="H132" s="6" t="n"/>
      <c r="I132" s="6" t="inlineStr">
        <is>
          <t>filled</t>
        </is>
      </c>
      <c r="J132" s="16" t="n">
        <v>132.370499603</v>
      </c>
      <c r="K132" s="17" t="n">
        <v>62.615865</v>
      </c>
      <c r="L132" s="17">
        <f>IF(AND(ISNUMBER(J132),ISNUMBER(K132)),J132*K132,"")</f>
        <v/>
      </c>
      <c r="M132" s="17" t="n"/>
      <c r="N132" s="16" t="n">
        <v>132.370499603</v>
      </c>
      <c r="O132" s="6" t="inlineStr">
        <is>
          <t>evening under 5% (watchdog)</t>
        </is>
      </c>
      <c r="P132" s="15" t="inlineStr">
        <is>
          <t>Every-minute watchdog: evening rule, under +5% before the close</t>
        </is>
      </c>
      <c r="Q132" s="12" t="n"/>
      <c r="R132" s="6" t="n"/>
      <c r="S132" s="18" t="n"/>
      <c r="T132" s="12" t="n"/>
      <c r="U132" s="19" t="n"/>
      <c r="V132" s="19" t="n"/>
      <c r="W132" s="12" t="n"/>
      <c r="X132" s="6" t="n"/>
      <c r="Y132" s="19" t="n"/>
      <c r="Z132" s="6" t="n"/>
      <c r="AA132" s="12" t="n"/>
      <c r="AB132" s="15" t="n"/>
      <c r="AC132" s="6" t="n"/>
      <c r="AD132" s="6" t="n"/>
      <c r="AE132" s="17" t="n"/>
      <c r="AF132" s="17" t="n"/>
      <c r="AG132" s="17" t="n"/>
      <c r="AH132" s="20" t="n"/>
      <c r="AI132" s="18" t="n"/>
      <c r="AJ132" s="6" t="n"/>
      <c r="AK132" s="12" t="n"/>
      <c r="AL132" s="15" t="n"/>
      <c r="AM132" s="17" t="n"/>
      <c r="AN132" s="19" t="n"/>
      <c r="AO132" s="17" t="n"/>
      <c r="AP132" s="17" t="n"/>
      <c r="AQ132" s="19" t="n"/>
      <c r="AR132" s="16" t="n"/>
      <c r="AS132" s="17" t="n"/>
      <c r="AT132" s="19" t="n"/>
      <c r="AU132" s="6" t="inlineStr">
        <is>
          <t>paper</t>
        </is>
      </c>
      <c r="AV132" s="6" t="inlineStr">
        <is>
          <t>779bd3ce-6645-42cc-a2d7-b0d5a4c8285c</t>
        </is>
      </c>
      <c r="AW132" s="6" t="inlineStr">
        <is>
          <t>tdagent-wd-evening-OXY-1793302229102</t>
        </is>
      </c>
      <c r="AX132" s="13" t="n">
        <v>46324.81283564815</v>
      </c>
      <c r="AY132" s="13" t="n">
        <v>46324.81291666667</v>
      </c>
      <c r="AZ132" s="13" t="n"/>
      <c r="BA132" s="6" t="n"/>
    </row>
    <row r="133">
      <c r="A133" s="12" t="n">
        <v>132</v>
      </c>
      <c r="B133" s="13" t="n">
        <v>46324.85451388889</v>
      </c>
      <c r="C133" s="13" t="n">
        <v>46324.64618055556</v>
      </c>
      <c r="D133" s="13" t="n">
        <v>46324.81284722222</v>
      </c>
      <c r="E133" s="21" t="inlineStr">
        <is>
          <t>SELL</t>
        </is>
      </c>
      <c r="F133" s="6" t="inlineStr">
        <is>
          <t>REGN</t>
        </is>
      </c>
      <c r="G133" s="15" t="n"/>
      <c r="H133" s="6" t="n"/>
      <c r="I133" s="6" t="inlineStr">
        <is>
          <t>filled</t>
        </is>
      </c>
      <c r="J133" s="16" t="n">
        <v>1.562144008</v>
      </c>
      <c r="K133" s="17" t="n">
        <v>814.27</v>
      </c>
      <c r="L133" s="17">
        <f>IF(AND(ISNUMBER(J133),ISNUMBER(K133)),J133*K133,"")</f>
        <v/>
      </c>
      <c r="M133" s="17" t="n"/>
      <c r="N133" s="16" t="n">
        <v>1.562144008</v>
      </c>
      <c r="O133" s="6" t="inlineStr">
        <is>
          <t>evening under 5% (watchdog)</t>
        </is>
      </c>
      <c r="P133" s="15" t="inlineStr">
        <is>
          <t>Every-minute watchdog: evening rule, under +5% before the close</t>
        </is>
      </c>
      <c r="Q133" s="12" t="n"/>
      <c r="R133" s="6" t="n"/>
      <c r="S133" s="18" t="n"/>
      <c r="T133" s="12" t="n"/>
      <c r="U133" s="19" t="n"/>
      <c r="V133" s="19" t="n"/>
      <c r="W133" s="12" t="n"/>
      <c r="X133" s="6" t="n"/>
      <c r="Y133" s="19" t="n"/>
      <c r="Z133" s="6" t="n"/>
      <c r="AA133" s="12" t="n"/>
      <c r="AB133" s="15" t="n"/>
      <c r="AC133" s="6" t="n"/>
      <c r="AD133" s="6" t="n"/>
      <c r="AE133" s="17" t="n"/>
      <c r="AF133" s="17" t="n"/>
      <c r="AG133" s="17" t="n"/>
      <c r="AH133" s="20" t="n"/>
      <c r="AI133" s="18" t="n"/>
      <c r="AJ133" s="6" t="n"/>
      <c r="AK133" s="12" t="n"/>
      <c r="AL133" s="15" t="n"/>
      <c r="AM133" s="17" t="n"/>
      <c r="AN133" s="19" t="n"/>
      <c r="AO133" s="17" t="n"/>
      <c r="AP133" s="17" t="n"/>
      <c r="AQ133" s="19" t="n"/>
      <c r="AR133" s="16" t="n"/>
      <c r="AS133" s="17" t="n"/>
      <c r="AT133" s="19" t="n"/>
      <c r="AU133" s="6" t="inlineStr">
        <is>
          <t>paper</t>
        </is>
      </c>
      <c r="AV133" s="6" t="inlineStr">
        <is>
          <t>ac545554-f080-4159-afde-cb853b451a45</t>
        </is>
      </c>
      <c r="AW133" s="6" t="inlineStr">
        <is>
          <t>tdagent-wd-evening-REGN-1793302230168</t>
        </is>
      </c>
      <c r="AX133" s="13" t="n">
        <v>46324.81284722222</v>
      </c>
      <c r="AY133" s="13" t="n">
        <v>46324.81284722222</v>
      </c>
      <c r="AZ133" s="13" t="n"/>
      <c r="BA133" s="6" t="n"/>
    </row>
    <row r="134">
      <c r="A134" s="12" t="n">
        <v>133</v>
      </c>
      <c r="B134" s="13" t="n">
        <v>46324.85454861111</v>
      </c>
      <c r="C134" s="13" t="n">
        <v>46324.64621527777</v>
      </c>
      <c r="D134" s="13" t="n">
        <v>46324.81288194445</v>
      </c>
      <c r="E134" s="21" t="inlineStr">
        <is>
          <t>SELL</t>
        </is>
      </c>
      <c r="F134" s="6" t="inlineStr">
        <is>
          <t>SHEL</t>
        </is>
      </c>
      <c r="G134" s="15" t="n"/>
      <c r="H134" s="6" t="n"/>
      <c r="I134" s="6" t="inlineStr">
        <is>
          <t>filled</t>
        </is>
      </c>
      <c r="J134" s="16" t="n">
        <v>6.184668341</v>
      </c>
      <c r="K134" s="17" t="n">
        <v>107.668085</v>
      </c>
      <c r="L134" s="17">
        <f>IF(AND(ISNUMBER(J134),ISNUMBER(K134)),J134*K134,"")</f>
        <v/>
      </c>
      <c r="M134" s="17" t="n"/>
      <c r="N134" s="16" t="n">
        <v>6.184668341</v>
      </c>
      <c r="O134" s="6" t="inlineStr">
        <is>
          <t>evening under 5% (watchdog)</t>
        </is>
      </c>
      <c r="P134" s="15" t="inlineStr">
        <is>
          <t>Every-minute watchdog: evening rule, under +5% before the close</t>
        </is>
      </c>
      <c r="Q134" s="12" t="n"/>
      <c r="R134" s="6" t="n"/>
      <c r="S134" s="18" t="n"/>
      <c r="T134" s="12" t="n"/>
      <c r="U134" s="19" t="n"/>
      <c r="V134" s="19" t="n"/>
      <c r="W134" s="12" t="n"/>
      <c r="X134" s="6" t="n"/>
      <c r="Y134" s="19" t="n"/>
      <c r="Z134" s="6" t="n"/>
      <c r="AA134" s="12" t="n"/>
      <c r="AB134" s="15" t="n"/>
      <c r="AC134" s="6" t="n"/>
      <c r="AD134" s="6" t="n"/>
      <c r="AE134" s="17" t="n"/>
      <c r="AF134" s="17" t="n"/>
      <c r="AG134" s="17" t="n"/>
      <c r="AH134" s="20" t="n"/>
      <c r="AI134" s="18" t="n"/>
      <c r="AJ134" s="6" t="n"/>
      <c r="AK134" s="12" t="n"/>
      <c r="AL134" s="15" t="n"/>
      <c r="AM134" s="17" t="n"/>
      <c r="AN134" s="19" t="n"/>
      <c r="AO134" s="17" t="n"/>
      <c r="AP134" s="17" t="n"/>
      <c r="AQ134" s="19" t="n"/>
      <c r="AR134" s="16" t="n"/>
      <c r="AS134" s="17" t="n"/>
      <c r="AT134" s="19" t="n"/>
      <c r="AU134" s="6" t="inlineStr">
        <is>
          <t>paper</t>
        </is>
      </c>
      <c r="AV134" s="6" t="inlineStr">
        <is>
          <t>b4c64afe-002e-437a-b3a1-f77a11dfc1d9</t>
        </is>
      </c>
      <c r="AW134" s="6" t="inlineStr">
        <is>
          <t>tdagent-wd-evening-SHEL-1793302231236</t>
        </is>
      </c>
      <c r="AX134" s="13" t="n">
        <v>46324.81285879629</v>
      </c>
      <c r="AY134" s="13" t="n">
        <v>46324.81288194445</v>
      </c>
      <c r="AZ134" s="13" t="n"/>
      <c r="BA134" s="6" t="n"/>
    </row>
    <row r="135">
      <c r="A135" s="12" t="n">
        <v>134</v>
      </c>
      <c r="B135" s="13" t="n">
        <v>46324.85454861111</v>
      </c>
      <c r="C135" s="13" t="n">
        <v>46324.64621527777</v>
      </c>
      <c r="D135" s="13" t="n">
        <v>46324.81288194445</v>
      </c>
      <c r="E135" s="21" t="inlineStr">
        <is>
          <t>SELL</t>
        </is>
      </c>
      <c r="F135" s="6" t="inlineStr">
        <is>
          <t>SO</t>
        </is>
      </c>
      <c r="G135" s="15" t="n"/>
      <c r="H135" s="6" t="n"/>
      <c r="I135" s="6" t="inlineStr">
        <is>
          <t>filled</t>
        </is>
      </c>
      <c r="J135" s="16" t="n">
        <v>14.744111003</v>
      </c>
      <c r="K135" s="17" t="n">
        <v>93.03</v>
      </c>
      <c r="L135" s="17">
        <f>IF(AND(ISNUMBER(J135),ISNUMBER(K135)),J135*K135,"")</f>
        <v/>
      </c>
      <c r="M135" s="17" t="n"/>
      <c r="N135" s="16" t="n">
        <v>14.744111003</v>
      </c>
      <c r="O135" s="6" t="inlineStr">
        <is>
          <t>evening under 5% (watchdog)</t>
        </is>
      </c>
      <c r="P135" s="15" t="inlineStr">
        <is>
          <t>Every-minute watchdog: evening rule, under +5% before the close</t>
        </is>
      </c>
      <c r="Q135" s="12" t="n"/>
      <c r="R135" s="6" t="n"/>
      <c r="S135" s="18" t="n"/>
      <c r="T135" s="12" t="n"/>
      <c r="U135" s="19" t="n"/>
      <c r="V135" s="19" t="n"/>
      <c r="W135" s="12" t="n"/>
      <c r="X135" s="6" t="n"/>
      <c r="Y135" s="19" t="n"/>
      <c r="Z135" s="6" t="n"/>
      <c r="AA135" s="12" t="n"/>
      <c r="AB135" s="15" t="n"/>
      <c r="AC135" s="6" t="n"/>
      <c r="AD135" s="6" t="n"/>
      <c r="AE135" s="17" t="n"/>
      <c r="AF135" s="17" t="n"/>
      <c r="AG135" s="17" t="n"/>
      <c r="AH135" s="20" t="n"/>
      <c r="AI135" s="18" t="n"/>
      <c r="AJ135" s="6" t="n"/>
      <c r="AK135" s="12" t="n"/>
      <c r="AL135" s="15" t="n"/>
      <c r="AM135" s="17" t="n"/>
      <c r="AN135" s="19" t="n"/>
      <c r="AO135" s="17" t="n"/>
      <c r="AP135" s="17" t="n"/>
      <c r="AQ135" s="19" t="n"/>
      <c r="AR135" s="16" t="n"/>
      <c r="AS135" s="17" t="n"/>
      <c r="AT135" s="19" t="n"/>
      <c r="AU135" s="6" t="inlineStr">
        <is>
          <t>paper</t>
        </is>
      </c>
      <c r="AV135" s="6" t="inlineStr">
        <is>
          <t>5beca5e0-06a3-4be1-a5d9-c97a5e140c7d</t>
        </is>
      </c>
      <c r="AW135" s="6" t="inlineStr">
        <is>
          <t>tdagent-wd-evening-SO-1793302232319</t>
        </is>
      </c>
      <c r="AX135" s="13" t="n">
        <v>46324.81287037037</v>
      </c>
      <c r="AY135" s="13" t="n">
        <v>46324.81288194445</v>
      </c>
      <c r="AZ135" s="13" t="n"/>
      <c r="BA135" s="6" t="n"/>
    </row>
    <row r="136">
      <c r="A136" s="12" t="n">
        <v>135</v>
      </c>
      <c r="B136" s="13" t="n">
        <v>46324.85456018519</v>
      </c>
      <c r="C136" s="13" t="n">
        <v>46324.64622685185</v>
      </c>
      <c r="D136" s="13" t="n">
        <v>46324.81289351852</v>
      </c>
      <c r="E136" s="21" t="inlineStr">
        <is>
          <t>SELL</t>
        </is>
      </c>
      <c r="F136" s="6" t="inlineStr">
        <is>
          <t>VEEV</t>
        </is>
      </c>
      <c r="G136" s="15" t="n"/>
      <c r="H136" s="6" t="n"/>
      <c r="I136" s="6" t="inlineStr">
        <is>
          <t>filled</t>
        </is>
      </c>
      <c r="J136" s="16" t="n">
        <v>2.132719514</v>
      </c>
      <c r="K136" s="17" t="n">
        <v>310.44</v>
      </c>
      <c r="L136" s="17">
        <f>IF(AND(ISNUMBER(J136),ISNUMBER(K136)),J136*K136,"")</f>
        <v/>
      </c>
      <c r="M136" s="17" t="n"/>
      <c r="N136" s="16" t="n">
        <v>2.132719514</v>
      </c>
      <c r="O136" s="6" t="inlineStr">
        <is>
          <t>evening under 5% (watchdog)</t>
        </is>
      </c>
      <c r="P136" s="15" t="inlineStr">
        <is>
          <t>Every-minute watchdog: evening rule, under +5% before the close</t>
        </is>
      </c>
      <c r="Q136" s="12" t="n"/>
      <c r="R136" s="6" t="n"/>
      <c r="S136" s="18" t="n"/>
      <c r="T136" s="12" t="n"/>
      <c r="U136" s="19" t="n"/>
      <c r="V136" s="19" t="n"/>
      <c r="W136" s="12" t="n"/>
      <c r="X136" s="6" t="n"/>
      <c r="Y136" s="19" t="n"/>
      <c r="Z136" s="6" t="n"/>
      <c r="AA136" s="12" t="n"/>
      <c r="AB136" s="15" t="n"/>
      <c r="AC136" s="6" t="n"/>
      <c r="AD136" s="6" t="n"/>
      <c r="AE136" s="17" t="n"/>
      <c r="AF136" s="17" t="n"/>
      <c r="AG136" s="17" t="n"/>
      <c r="AH136" s="20" t="n"/>
      <c r="AI136" s="18" t="n"/>
      <c r="AJ136" s="6" t="n"/>
      <c r="AK136" s="12" t="n"/>
      <c r="AL136" s="15" t="n"/>
      <c r="AM136" s="17" t="n"/>
      <c r="AN136" s="19" t="n"/>
      <c r="AO136" s="17" t="n"/>
      <c r="AP136" s="17" t="n"/>
      <c r="AQ136" s="19" t="n"/>
      <c r="AR136" s="16" t="n"/>
      <c r="AS136" s="17" t="n"/>
      <c r="AT136" s="19" t="n"/>
      <c r="AU136" s="6" t="inlineStr">
        <is>
          <t>paper</t>
        </is>
      </c>
      <c r="AV136" s="6" t="inlineStr">
        <is>
          <t>d1f32e1f-3a83-4042-8079-a7edc3e38000</t>
        </is>
      </c>
      <c r="AW136" s="6" t="inlineStr">
        <is>
          <t>tdagent-wd-evening-VEEV-1793302233394</t>
        </is>
      </c>
      <c r="AX136" s="13" t="n">
        <v>46324.81288194445</v>
      </c>
      <c r="AY136" s="13" t="n">
        <v>46324.81289351852</v>
      </c>
      <c r="AZ136" s="13" t="n"/>
      <c r="BA136" s="6" t="n"/>
    </row>
    <row r="137">
      <c r="A137" s="12" t="n">
        <v>136</v>
      </c>
      <c r="B137" s="13" t="n">
        <v>46325.60730324074</v>
      </c>
      <c r="C137" s="13" t="n">
        <v>46325.39896990741</v>
      </c>
      <c r="D137" s="13" t="n">
        <v>46325.56563657407</v>
      </c>
      <c r="E137" s="14" t="inlineStr">
        <is>
          <t>BUY</t>
        </is>
      </c>
      <c r="F137" s="6" t="inlineStr">
        <is>
          <t>VEEV</t>
        </is>
      </c>
      <c r="G137" s="15" t="inlineStr">
        <is>
          <t>Veeva Systems Inc.</t>
        </is>
      </c>
      <c r="H137" s="6" t="inlineStr">
        <is>
          <t>NYSE</t>
        </is>
      </c>
      <c r="I137" s="6" t="inlineStr">
        <is>
          <t>filled</t>
        </is>
      </c>
      <c r="J137" s="16" t="n">
        <v>26.419297124</v>
      </c>
      <c r="K137" s="17" t="n">
        <v>313.499635</v>
      </c>
      <c r="L137" s="17">
        <f>IF(AND(ISNUMBER(J137),ISNUMBER(K137)),J137*K137,"")</f>
        <v/>
      </c>
      <c r="M137" s="17" t="n">
        <v>8282.450000000001</v>
      </c>
      <c r="N137" s="16" t="n"/>
      <c r="O137" s="6" t="inlineStr">
        <is>
          <t>4+/5 green</t>
        </is>
      </c>
      <c r="P137" s="15" t="inlineStr">
        <is>
          <t>5 of 5 green, time machine green, rank #1, 8.33% of the $99,429.18 free cash split 12 ways</t>
        </is>
      </c>
      <c r="Q137" s="12" t="n">
        <v>5</v>
      </c>
      <c r="R137" s="6" t="inlineStr">
        <is>
          <t>ok</t>
        </is>
      </c>
      <c r="S137" s="18" t="n">
        <v>0.868</v>
      </c>
      <c r="T137" s="12" t="n">
        <v>38</v>
      </c>
      <c r="U137" s="19" t="n">
        <v>0.0567</v>
      </c>
      <c r="V137" s="19" t="n">
        <v>0.2893</v>
      </c>
      <c r="W137" s="12" t="n">
        <v>1</v>
      </c>
      <c r="X137" s="6" t="inlineStr">
        <is>
          <t>ok</t>
        </is>
      </c>
      <c r="Y137" s="19" t="n">
        <v>0</v>
      </c>
      <c r="Z137" s="6" t="inlineStr">
        <is>
          <t>ok</t>
        </is>
      </c>
      <c r="AA137" s="12" t="n">
        <v>100</v>
      </c>
      <c r="AB137" s="15" t="n"/>
      <c r="AC137" s="6" t="inlineStr">
        <is>
          <t>ok</t>
        </is>
      </c>
      <c r="AD137" s="6" t="inlineStr">
        <is>
          <t>up</t>
        </is>
      </c>
      <c r="AE137" s="17" t="n">
        <v>318.1494</v>
      </c>
      <c r="AF137" s="17" t="n">
        <v>298.5759</v>
      </c>
      <c r="AG137" s="17" t="n">
        <v>337.7229</v>
      </c>
      <c r="AH137" s="20" t="n">
        <v>46332</v>
      </c>
      <c r="AI137" s="18" t="n">
        <v>0.55</v>
      </c>
      <c r="AJ137" s="6" t="inlineStr">
        <is>
          <t>ok</t>
        </is>
      </c>
      <c r="AK137" s="12" t="n">
        <v>4</v>
      </c>
      <c r="AL137" s="15" t="inlineStr">
        <is>
          <t>Mizuho Adjusts Price Target on Veeva Systems</t>
        </is>
      </c>
      <c r="AM137" s="17" t="n">
        <v>310.32</v>
      </c>
      <c r="AN137" s="19" t="n">
        <v>-0.0239</v>
      </c>
      <c r="AO137" s="17" t="n">
        <v>99429.17999999999</v>
      </c>
      <c r="AP137" s="17" t="n">
        <v>99429.17999999999</v>
      </c>
      <c r="AQ137" s="19" t="n">
        <v>0.0833</v>
      </c>
      <c r="AR137" s="16" t="n"/>
      <c r="AS137" s="17" t="n"/>
      <c r="AT137" s="19" t="n"/>
      <c r="AU137" s="6" t="inlineStr">
        <is>
          <t>paper</t>
        </is>
      </c>
      <c r="AV137" s="6" t="inlineStr">
        <is>
          <t>f91d62b7-8568-4f9e-be71-796e63d65117</t>
        </is>
      </c>
      <c r="AW137" s="6" t="inlineStr">
        <is>
          <t>tdagent-buy-VEEV-1793367081183</t>
        </is>
      </c>
      <c r="AX137" s="13" t="n">
        <v>46325.5634375</v>
      </c>
      <c r="AY137" s="13" t="n">
        <v>46325.56563657407</v>
      </c>
      <c r="AZ137" s="13" t="n">
        <v>46325.5627662037</v>
      </c>
      <c r="BA137" s="6" t="n"/>
    </row>
    <row r="138">
      <c r="A138" s="12" t="n">
        <v>137</v>
      </c>
      <c r="B138" s="13" t="n">
        <v>46325.60703703704</v>
      </c>
      <c r="C138" s="13" t="n">
        <v>46325.3987037037</v>
      </c>
      <c r="D138" s="13" t="n">
        <v>46325.56537037037</v>
      </c>
      <c r="E138" s="14" t="inlineStr">
        <is>
          <t>BUY</t>
        </is>
      </c>
      <c r="F138" s="6" t="inlineStr">
        <is>
          <t>AVTR</t>
        </is>
      </c>
      <c r="G138" s="15" t="inlineStr">
        <is>
          <t>Avantor, Inc.</t>
        </is>
      </c>
      <c r="H138" s="6" t="inlineStr">
        <is>
          <t>NYSE</t>
        </is>
      </c>
      <c r="I138" s="6" t="inlineStr">
        <is>
          <t>filled</t>
        </is>
      </c>
      <c r="J138" s="16" t="n">
        <v>506</v>
      </c>
      <c r="K138" s="17" t="n">
        <v>16.368458</v>
      </c>
      <c r="L138" s="17">
        <f>IF(AND(ISNUMBER(J138),ISNUMBER(K138)),J138*K138,"")</f>
        <v/>
      </c>
      <c r="M138" s="17" t="n">
        <v>8282.450000000001</v>
      </c>
      <c r="N138" s="16" t="n"/>
      <c r="O138" s="6" t="inlineStr">
        <is>
          <t>4+/5 green</t>
        </is>
      </c>
      <c r="P138" s="15" t="inlineStr">
        <is>
          <t>4 of 5 green, time machine green, rank #2, 8.33% of the $99,429.18 free cash split 12 ways</t>
        </is>
      </c>
      <c r="Q138" s="12" t="n">
        <v>4</v>
      </c>
      <c r="R138" s="6" t="inlineStr">
        <is>
          <t>ok</t>
        </is>
      </c>
      <c r="S138" s="18" t="n">
        <v>0.823</v>
      </c>
      <c r="T138" s="12" t="n">
        <v>62</v>
      </c>
      <c r="U138" s="19" t="n">
        <v>0.0453</v>
      </c>
      <c r="V138" s="19" t="n">
        <v>0.2893</v>
      </c>
      <c r="W138" s="12" t="n">
        <v>2</v>
      </c>
      <c r="X138" s="6" t="inlineStr">
        <is>
          <t>ok</t>
        </is>
      </c>
      <c r="Y138" s="19" t="n">
        <v>0.004500000000000001</v>
      </c>
      <c r="Z138" s="6" t="inlineStr">
        <is>
          <t>ok</t>
        </is>
      </c>
      <c r="AA138" s="12" t="n">
        <v>100</v>
      </c>
      <c r="AB138" s="15" t="n"/>
      <c r="AC138" s="6" t="inlineStr">
        <is>
          <t>ok</t>
        </is>
      </c>
      <c r="AD138" s="6" t="inlineStr">
        <is>
          <t>up</t>
        </is>
      </c>
      <c r="AE138" s="17" t="n">
        <v>16.9406</v>
      </c>
      <c r="AF138" s="17" t="n">
        <v>16.2766</v>
      </c>
      <c r="AG138" s="17" t="n">
        <v>17.6045</v>
      </c>
      <c r="AH138" s="20" t="n">
        <v>46332</v>
      </c>
      <c r="AI138" s="18" t="n">
        <v>0.5600000000000001</v>
      </c>
      <c r="AJ138" s="6" t="inlineStr">
        <is>
          <t>watch</t>
        </is>
      </c>
      <c r="AK138" s="12" t="n">
        <v>9</v>
      </c>
      <c r="AL138" s="15" t="inlineStr">
        <is>
          <t>Incyte To Rally More Than 23%? Here Are 10 Top Analyst Forecasts For Friday</t>
        </is>
      </c>
      <c r="AM138" s="17" t="n">
        <v>16.6</v>
      </c>
      <c r="AN138" s="19" t="n">
        <v>-0.0003</v>
      </c>
      <c r="AO138" s="17" t="n">
        <v>99429.17999999999</v>
      </c>
      <c r="AP138" s="17" t="n">
        <v>99429.17999999999</v>
      </c>
      <c r="AQ138" s="19" t="n">
        <v>0.0833</v>
      </c>
      <c r="AR138" s="16" t="n"/>
      <c r="AS138" s="17" t="n"/>
      <c r="AT138" s="19" t="n"/>
      <c r="AU138" s="6" t="inlineStr">
        <is>
          <t>paper</t>
        </is>
      </c>
      <c r="AV138" s="6" t="inlineStr">
        <is>
          <t>ccc52b9b-563a-44f9-b2bf-27ec4616476d</t>
        </is>
      </c>
      <c r="AW138" s="6" t="inlineStr">
        <is>
          <t>tdagent-buy-AVTR-1793367081262</t>
        </is>
      </c>
      <c r="AX138" s="13" t="n">
        <v>46325.5634375</v>
      </c>
      <c r="AY138" s="13" t="n">
        <v>46325.56537037037</v>
      </c>
      <c r="AZ138" s="13" t="n">
        <v>46325.5627662037</v>
      </c>
      <c r="BA138" s="6" t="n"/>
    </row>
    <row r="139">
      <c r="A139" s="12" t="n">
        <v>138</v>
      </c>
      <c r="B139" s="13" t="n">
        <v>46325.6065162037</v>
      </c>
      <c r="C139" s="13" t="n">
        <v>46325.39818287037</v>
      </c>
      <c r="D139" s="13" t="n">
        <v>46325.56484953704</v>
      </c>
      <c r="E139" s="14" t="inlineStr">
        <is>
          <t>BUY</t>
        </is>
      </c>
      <c r="F139" s="6" t="inlineStr">
        <is>
          <t>TMO</t>
        </is>
      </c>
      <c r="G139" s="15" t="inlineStr">
        <is>
          <t>Thermo Fisher Scientific, Inc.</t>
        </is>
      </c>
      <c r="H139" s="6" t="inlineStr">
        <is>
          <t>NYSE</t>
        </is>
      </c>
      <c r="I139" s="6" t="inlineStr">
        <is>
          <t>filled</t>
        </is>
      </c>
      <c r="J139" s="16" t="n">
        <v>11.642778824</v>
      </c>
      <c r="K139" s="17" t="n">
        <v>711.38</v>
      </c>
      <c r="L139" s="17">
        <f>IF(AND(ISNUMBER(J139),ISNUMBER(K139)),J139*K139,"")</f>
        <v/>
      </c>
      <c r="M139" s="17" t="n">
        <v>8282.450000000001</v>
      </c>
      <c r="N139" s="16" t="n"/>
      <c r="O139" s="6" t="inlineStr">
        <is>
          <t>4+/5 green</t>
        </is>
      </c>
      <c r="P139" s="15" t="inlineStr">
        <is>
          <t>5 of 5 green, time machine green, rank #3, 8.33% of the $99,429.18 free cash split 12 ways</t>
        </is>
      </c>
      <c r="Q139" s="12" t="n">
        <v>5</v>
      </c>
      <c r="R139" s="6" t="inlineStr">
        <is>
          <t>ok</t>
        </is>
      </c>
      <c r="S139" s="18" t="n">
        <v>0.671</v>
      </c>
      <c r="T139" s="12" t="n">
        <v>82</v>
      </c>
      <c r="U139" s="19" t="n">
        <v>0.0138</v>
      </c>
      <c r="V139" s="19" t="n">
        <v>0.2893</v>
      </c>
      <c r="W139" s="12" t="n">
        <v>3</v>
      </c>
      <c r="X139" s="6" t="inlineStr">
        <is>
          <t>ok</t>
        </is>
      </c>
      <c r="Y139" s="19" t="n">
        <v>0.0031</v>
      </c>
      <c r="Z139" s="6" t="inlineStr">
        <is>
          <t>ok</t>
        </is>
      </c>
      <c r="AA139" s="12" t="n">
        <v>100</v>
      </c>
      <c r="AB139" s="15" t="n"/>
      <c r="AC139" s="6" t="inlineStr">
        <is>
          <t>ok</t>
        </is>
      </c>
      <c r="AD139" s="6" t="inlineStr">
        <is>
          <t>up</t>
        </is>
      </c>
      <c r="AE139" s="17" t="n">
        <v>719.5843</v>
      </c>
      <c r="AF139" s="17" t="n">
        <v>694.4236</v>
      </c>
      <c r="AG139" s="17" t="n">
        <v>744.7449</v>
      </c>
      <c r="AH139" s="20" t="n">
        <v>46332</v>
      </c>
      <c r="AI139" s="18" t="n">
        <v>0.55</v>
      </c>
      <c r="AJ139" s="6" t="inlineStr">
        <is>
          <t>ok</t>
        </is>
      </c>
      <c r="AK139" s="12" t="n">
        <v>0</v>
      </c>
      <c r="AL139" s="15" t="n"/>
      <c r="AM139" s="17" t="n">
        <v>709.52</v>
      </c>
      <c r="AN139" s="19" t="n">
        <v>0.0066</v>
      </c>
      <c r="AO139" s="17" t="n">
        <v>99429.17999999999</v>
      </c>
      <c r="AP139" s="17" t="n">
        <v>99429.17999999999</v>
      </c>
      <c r="AQ139" s="19" t="n">
        <v>0.0833</v>
      </c>
      <c r="AR139" s="16" t="n"/>
      <c r="AS139" s="17" t="n"/>
      <c r="AT139" s="19" t="n"/>
      <c r="AU139" s="6" t="inlineStr">
        <is>
          <t>paper</t>
        </is>
      </c>
      <c r="AV139" s="6" t="inlineStr">
        <is>
          <t>c7a24925-a6d8-46bd-8523-07cdb34887bb</t>
        </is>
      </c>
      <c r="AW139" s="6" t="inlineStr">
        <is>
          <t>tdagent-buy-TMO-1793367081364</t>
        </is>
      </c>
      <c r="AX139" s="13" t="n">
        <v>46325.5634375</v>
      </c>
      <c r="AY139" s="13" t="n">
        <v>46325.56484953704</v>
      </c>
      <c r="AZ139" s="13" t="n">
        <v>46325.5627662037</v>
      </c>
      <c r="BA139" s="6" t="n"/>
    </row>
    <row r="140">
      <c r="A140" s="12" t="n">
        <v>139</v>
      </c>
      <c r="B140" s="13" t="n">
        <v>46325.60611111111</v>
      </c>
      <c r="C140" s="13" t="n">
        <v>46325.39777777778</v>
      </c>
      <c r="D140" s="13" t="n">
        <v>46325.56444444445</v>
      </c>
      <c r="E140" s="14" t="inlineStr">
        <is>
          <t>BUY</t>
        </is>
      </c>
      <c r="F140" s="6" t="inlineStr">
        <is>
          <t>MCK</t>
        </is>
      </c>
      <c r="G140" s="15" t="inlineStr">
        <is>
          <t>McKesson Corporation</t>
        </is>
      </c>
      <c r="H140" s="6" t="inlineStr">
        <is>
          <t>NYSE</t>
        </is>
      </c>
      <c r="I140" s="6" t="inlineStr">
        <is>
          <t>filled</t>
        </is>
      </c>
      <c r="J140" s="16" t="n">
        <v>8.201734928</v>
      </c>
      <c r="K140" s="17" t="n">
        <v>1009.84</v>
      </c>
      <c r="L140" s="17">
        <f>IF(AND(ISNUMBER(J140),ISNUMBER(K140)),J140*K140,"")</f>
        <v/>
      </c>
      <c r="M140" s="17" t="n">
        <v>8282.450000000001</v>
      </c>
      <c r="N140" s="16" t="n"/>
      <c r="O140" s="6" t="inlineStr">
        <is>
          <t>4+/5 green</t>
        </is>
      </c>
      <c r="P140" s="15" t="inlineStr">
        <is>
          <t>5 of 5 green, time machine green, rank #5, 8.33% of the $99,429.18 free cash split 12 ways</t>
        </is>
      </c>
      <c r="Q140" s="12" t="n">
        <v>5</v>
      </c>
      <c r="R140" s="6" t="inlineStr">
        <is>
          <t>ok</t>
        </is>
      </c>
      <c r="S140" s="18" t="n">
        <v>0.588</v>
      </c>
      <c r="T140" s="12" t="n">
        <v>68</v>
      </c>
      <c r="U140" s="19" t="n">
        <v>0.0019</v>
      </c>
      <c r="V140" s="19" t="n">
        <v>0.2893</v>
      </c>
      <c r="W140" s="12" t="n">
        <v>5</v>
      </c>
      <c r="X140" s="6" t="inlineStr">
        <is>
          <t>ok</t>
        </is>
      </c>
      <c r="Y140" s="19" t="n">
        <v>0</v>
      </c>
      <c r="Z140" s="6" t="inlineStr">
        <is>
          <t>ok</t>
        </is>
      </c>
      <c r="AA140" s="12" t="n">
        <v>100</v>
      </c>
      <c r="AB140" s="15" t="n"/>
      <c r="AC140" s="6" t="inlineStr">
        <is>
          <t>ok</t>
        </is>
      </c>
      <c r="AD140" s="6" t="inlineStr">
        <is>
          <t>up</t>
        </is>
      </c>
      <c r="AE140" s="17" t="n">
        <v>995.9461</v>
      </c>
      <c r="AF140" s="17" t="n">
        <v>959.4058</v>
      </c>
      <c r="AG140" s="17" t="n">
        <v>1032.4865</v>
      </c>
      <c r="AH140" s="20" t="n">
        <v>46332</v>
      </c>
      <c r="AI140" s="18" t="n">
        <v>0.55</v>
      </c>
      <c r="AJ140" s="6" t="inlineStr">
        <is>
          <t>ok</t>
        </is>
      </c>
      <c r="AK140" s="12" t="n">
        <v>0</v>
      </c>
      <c r="AL140" s="15" t="n"/>
      <c r="AM140" s="17" t="n">
        <v>981.33</v>
      </c>
      <c r="AN140" s="19" t="n">
        <v>0.021</v>
      </c>
      <c r="AO140" s="17" t="n">
        <v>99429.17999999999</v>
      </c>
      <c r="AP140" s="17" t="n">
        <v>99429.17999999999</v>
      </c>
      <c r="AQ140" s="19" t="n">
        <v>0.0833</v>
      </c>
      <c r="AR140" s="16" t="n"/>
      <c r="AS140" s="17" t="n"/>
      <c r="AT140" s="19" t="n"/>
      <c r="AU140" s="6" t="inlineStr">
        <is>
          <t>paper</t>
        </is>
      </c>
      <c r="AV140" s="6" t="inlineStr">
        <is>
          <t>c9d18008-3091-4eaa-b62d-1e1b97e85236</t>
        </is>
      </c>
      <c r="AW140" s="6" t="inlineStr">
        <is>
          <t>tdagent-buy-MCK-1793367081495</t>
        </is>
      </c>
      <c r="AX140" s="13" t="n">
        <v>46325.5634375</v>
      </c>
      <c r="AY140" s="13" t="n">
        <v>46325.56444444445</v>
      </c>
      <c r="AZ140" s="13" t="n">
        <v>46325.5627662037</v>
      </c>
      <c r="BA140" s="6" t="n"/>
    </row>
    <row r="141">
      <c r="A141" s="12" t="n">
        <v>140</v>
      </c>
      <c r="B141" s="13" t="n">
        <v>46325.60637731481</v>
      </c>
      <c r="C141" s="13" t="n">
        <v>46325.39804398148</v>
      </c>
      <c r="D141" s="13" t="n">
        <v>46325.56471064815</v>
      </c>
      <c r="E141" s="14" t="inlineStr">
        <is>
          <t>BUY</t>
        </is>
      </c>
      <c r="F141" s="6" t="inlineStr">
        <is>
          <t>IQV</t>
        </is>
      </c>
      <c r="G141" s="15" t="inlineStr">
        <is>
          <t>IQVIA Holdings Inc.</t>
        </is>
      </c>
      <c r="H141" s="6" t="inlineStr">
        <is>
          <t>NYSE</t>
        </is>
      </c>
      <c r="I141" s="6" t="inlineStr">
        <is>
          <t>filled</t>
        </is>
      </c>
      <c r="J141" s="16" t="n">
        <v>30.574919709</v>
      </c>
      <c r="K141" s="17" t="n">
        <v>270.89</v>
      </c>
      <c r="L141" s="17">
        <f>IF(AND(ISNUMBER(J141),ISNUMBER(K141)),J141*K141,"")</f>
        <v/>
      </c>
      <c r="M141" s="17" t="n">
        <v>8282.450000000001</v>
      </c>
      <c r="N141" s="16" t="n"/>
      <c r="O141" s="6" t="inlineStr">
        <is>
          <t>4+/5 green</t>
        </is>
      </c>
      <c r="P141" s="15" t="inlineStr">
        <is>
          <t>5 of 5 green, time machine green, rank #6, 8.33% of the $99,429.18 free cash split 12 ways</t>
        </is>
      </c>
      <c r="Q141" s="12" t="n">
        <v>5</v>
      </c>
      <c r="R141" s="6" t="inlineStr">
        <is>
          <t>ok</t>
        </is>
      </c>
      <c r="S141" s="18" t="n">
        <v>0.608</v>
      </c>
      <c r="T141" s="12" t="n">
        <v>74</v>
      </c>
      <c r="U141" s="19" t="n">
        <v>0.0149</v>
      </c>
      <c r="V141" s="19" t="n">
        <v>0.2893</v>
      </c>
      <c r="W141" s="12" t="n">
        <v>6</v>
      </c>
      <c r="X141" s="6" t="inlineStr">
        <is>
          <t>ok</t>
        </is>
      </c>
      <c r="Y141" s="19" t="n">
        <v>0</v>
      </c>
      <c r="Z141" s="6" t="inlineStr">
        <is>
          <t>ok</t>
        </is>
      </c>
      <c r="AA141" s="12" t="n">
        <v>100</v>
      </c>
      <c r="AB141" s="15" t="n"/>
      <c r="AC141" s="6" t="inlineStr">
        <is>
          <t>ok</t>
        </is>
      </c>
      <c r="AD141" s="6" t="inlineStr">
        <is>
          <t>up</t>
        </is>
      </c>
      <c r="AE141" s="17" t="n">
        <v>278.6477</v>
      </c>
      <c r="AF141" s="17" t="n">
        <v>268.7034</v>
      </c>
      <c r="AG141" s="17" t="n">
        <v>288.592</v>
      </c>
      <c r="AH141" s="20" t="n">
        <v>46332</v>
      </c>
      <c r="AI141" s="18" t="n">
        <v>0.53</v>
      </c>
      <c r="AJ141" s="6" t="inlineStr">
        <is>
          <t>ok</t>
        </is>
      </c>
      <c r="AK141" s="12" t="n">
        <v>1</v>
      </c>
      <c r="AL141" s="15" t="inlineStr">
        <is>
          <t>TD Cowen Maintains Buy on IQVIA Holdings, Raises Price Target to $307</t>
        </is>
      </c>
      <c r="AM141" s="17" t="n">
        <v>274.67</v>
      </c>
      <c r="AN141" s="19" t="n">
        <v>-0.0152</v>
      </c>
      <c r="AO141" s="17" t="n">
        <v>99429.17999999999</v>
      </c>
      <c r="AP141" s="17" t="n">
        <v>99429.17999999999</v>
      </c>
      <c r="AQ141" s="19" t="n">
        <v>0.0833</v>
      </c>
      <c r="AR141" s="16" t="n"/>
      <c r="AS141" s="17" t="n"/>
      <c r="AT141" s="19" t="n"/>
      <c r="AU141" s="6" t="inlineStr">
        <is>
          <t>paper</t>
        </is>
      </c>
      <c r="AV141" s="6" t="inlineStr">
        <is>
          <t>8b58392b-214c-48a0-9d1f-677ea8856dba</t>
        </is>
      </c>
      <c r="AW141" s="6" t="inlineStr">
        <is>
          <t>tdagent-buy-IQV-1793367081570</t>
        </is>
      </c>
      <c r="AX141" s="13" t="n">
        <v>46325.5634375</v>
      </c>
      <c r="AY141" s="13" t="n">
        <v>46325.56471064815</v>
      </c>
      <c r="AZ141" s="13" t="n">
        <v>46325.5627662037</v>
      </c>
      <c r="BA141" s="6" t="n"/>
    </row>
    <row r="142">
      <c r="A142" s="12" t="n">
        <v>141</v>
      </c>
      <c r="B142" s="13" t="n">
        <v>46325.60603009259</v>
      </c>
      <c r="C142" s="13" t="n">
        <v>46325.39769675926</v>
      </c>
      <c r="D142" s="13" t="n">
        <v>46325.56436342592</v>
      </c>
      <c r="E142" s="14" t="inlineStr">
        <is>
          <t>BUY</t>
        </is>
      </c>
      <c r="F142" s="6" t="inlineStr">
        <is>
          <t>ISRG</t>
        </is>
      </c>
      <c r="G142" s="15" t="inlineStr">
        <is>
          <t>Intuitive Surgical, Inc. Common Stock</t>
        </is>
      </c>
      <c r="H142" s="6" t="inlineStr">
        <is>
          <t>NASDAQ</t>
        </is>
      </c>
      <c r="I142" s="6" t="inlineStr">
        <is>
          <t>filled</t>
        </is>
      </c>
      <c r="J142" s="16" t="n">
        <v>18.497085557</v>
      </c>
      <c r="K142" s="17" t="n">
        <v>447.77</v>
      </c>
      <c r="L142" s="17">
        <f>IF(AND(ISNUMBER(J142),ISNUMBER(K142)),J142*K142,"")</f>
        <v/>
      </c>
      <c r="M142" s="17" t="n">
        <v>8282.450000000001</v>
      </c>
      <c r="N142" s="16" t="n"/>
      <c r="O142" s="6" t="inlineStr">
        <is>
          <t>4+/5 green</t>
        </is>
      </c>
      <c r="P142" s="15" t="inlineStr">
        <is>
          <t>5 of 5 green, time machine green, rank #7, 8.33% of the $99,429.18 free cash split 12 ways</t>
        </is>
      </c>
      <c r="Q142" s="12" t="n">
        <v>5</v>
      </c>
      <c r="R142" s="6" t="inlineStr">
        <is>
          <t>ok</t>
        </is>
      </c>
      <c r="S142" s="18" t="n">
        <v>0.552</v>
      </c>
      <c r="T142" s="12" t="n">
        <v>29</v>
      </c>
      <c r="U142" s="19" t="n">
        <v>0.0068</v>
      </c>
      <c r="V142" s="19" t="n">
        <v>0.2893</v>
      </c>
      <c r="W142" s="12" t="n">
        <v>7</v>
      </c>
      <c r="X142" s="6" t="inlineStr">
        <is>
          <t>ok</t>
        </is>
      </c>
      <c r="Y142" s="19" t="n">
        <v>0.0017</v>
      </c>
      <c r="Z142" s="6" t="inlineStr">
        <is>
          <t>ok</t>
        </is>
      </c>
      <c r="AA142" s="12" t="n">
        <v>100</v>
      </c>
      <c r="AB142" s="15" t="n"/>
      <c r="AC142" s="6" t="inlineStr">
        <is>
          <t>ok</t>
        </is>
      </c>
      <c r="AD142" s="6" t="inlineStr">
        <is>
          <t>up</t>
        </is>
      </c>
      <c r="AE142" s="17" t="n">
        <v>456.004</v>
      </c>
      <c r="AF142" s="17" t="n">
        <v>437.9065</v>
      </c>
      <c r="AG142" s="17" t="n">
        <v>474.1015</v>
      </c>
      <c r="AH142" s="20" t="n">
        <v>46332</v>
      </c>
      <c r="AI142" s="18" t="n">
        <v>0.5600000000000001</v>
      </c>
      <c r="AJ142" s="6" t="inlineStr">
        <is>
          <t>ok</t>
        </is>
      </c>
      <c r="AK142" s="12" t="n">
        <v>1</v>
      </c>
      <c r="AL142" s="15" t="inlineStr">
        <is>
          <t>Apollo Hospitals Adopts Intuitive's Da Vinci 5 Surgical System</t>
        </is>
      </c>
      <c r="AM142" s="17" t="n">
        <v>449.52</v>
      </c>
      <c r="AN142" s="19" t="n">
        <v>0.0103</v>
      </c>
      <c r="AO142" s="17" t="n">
        <v>99429.17999999999</v>
      </c>
      <c r="AP142" s="17" t="n">
        <v>99429.17999999999</v>
      </c>
      <c r="AQ142" s="19" t="n">
        <v>0.0833</v>
      </c>
      <c r="AR142" s="16" t="n"/>
      <c r="AS142" s="17" t="n"/>
      <c r="AT142" s="19" t="n"/>
      <c r="AU142" s="6" t="inlineStr">
        <is>
          <t>paper</t>
        </is>
      </c>
      <c r="AV142" s="6" t="inlineStr">
        <is>
          <t>2cf2a5c5-e672-4191-af35-c681b6b1185e</t>
        </is>
      </c>
      <c r="AW142" s="6" t="inlineStr">
        <is>
          <t>tdagent-buy-ISRG-1793367081690</t>
        </is>
      </c>
      <c r="AX142" s="13" t="n">
        <v>46325.5634375</v>
      </c>
      <c r="AY142" s="13" t="n">
        <v>46325.56436342592</v>
      </c>
      <c r="AZ142" s="13" t="n">
        <v>46325.5627662037</v>
      </c>
      <c r="BA142" s="6" t="n"/>
    </row>
    <row r="143">
      <c r="A143" s="12" t="n">
        <v>142</v>
      </c>
      <c r="B143" s="13" t="n">
        <v>46325.60714120371</v>
      </c>
      <c r="C143" s="13" t="n">
        <v>46325.39880787037</v>
      </c>
      <c r="D143" s="13" t="n">
        <v>46325.56547453703</v>
      </c>
      <c r="E143" s="14" t="inlineStr">
        <is>
          <t>BUY</t>
        </is>
      </c>
      <c r="F143" s="6" t="inlineStr">
        <is>
          <t>WTW</t>
        </is>
      </c>
      <c r="G143" s="15" t="inlineStr">
        <is>
          <t>Willis Towers Watson Public Limited Company Ordinary Shares</t>
        </is>
      </c>
      <c r="H143" s="6" t="inlineStr">
        <is>
          <t>NASDAQ</t>
        </is>
      </c>
      <c r="I143" s="6" t="inlineStr">
        <is>
          <t>filled</t>
        </is>
      </c>
      <c r="J143" s="16" t="n">
        <v>25.40677088</v>
      </c>
      <c r="K143" s="17" t="n">
        <v>325.993415</v>
      </c>
      <c r="L143" s="17">
        <f>IF(AND(ISNUMBER(J143),ISNUMBER(K143)),J143*K143,"")</f>
        <v/>
      </c>
      <c r="M143" s="17" t="n">
        <v>8282.450000000001</v>
      </c>
      <c r="N143" s="16" t="n"/>
      <c r="O143" s="6" t="inlineStr">
        <is>
          <t>4+/5 green</t>
        </is>
      </c>
      <c r="P143" s="15" t="inlineStr">
        <is>
          <t>4 of 5 green, time machine green, rank #8, 8.33% of the $99,429.18 free cash split 12 ways</t>
        </is>
      </c>
      <c r="Q143" s="12" t="n">
        <v>4</v>
      </c>
      <c r="R143" s="6" t="inlineStr">
        <is>
          <t>ok</t>
        </is>
      </c>
      <c r="S143" s="18" t="n">
        <v>0.621</v>
      </c>
      <c r="T143" s="12" t="n">
        <v>29</v>
      </c>
      <c r="U143" s="19" t="n">
        <v>0.0212</v>
      </c>
      <c r="V143" s="19" t="n">
        <v>0.2893</v>
      </c>
      <c r="W143" s="12" t="n">
        <v>8</v>
      </c>
      <c r="X143" s="6" t="inlineStr">
        <is>
          <t>ok</t>
        </is>
      </c>
      <c r="Y143" s="19" t="n">
        <v>0.0059</v>
      </c>
      <c r="Z143" s="6" t="inlineStr">
        <is>
          <t>ok</t>
        </is>
      </c>
      <c r="AA143" s="12" t="n">
        <v>100</v>
      </c>
      <c r="AB143" s="15" t="n"/>
      <c r="AC143" s="6" t="inlineStr">
        <is>
          <t>ok</t>
        </is>
      </c>
      <c r="AD143" s="6" t="inlineStr">
        <is>
          <t>up</t>
        </is>
      </c>
      <c r="AE143" s="17" t="n">
        <v>325.3718</v>
      </c>
      <c r="AF143" s="17" t="n">
        <v>314.0173</v>
      </c>
      <c r="AG143" s="17" t="n">
        <v>336.7264</v>
      </c>
      <c r="AH143" s="20" t="n">
        <v>46332</v>
      </c>
      <c r="AI143" s="18" t="n">
        <v>0.53</v>
      </c>
      <c r="AJ143" s="6" t="inlineStr">
        <is>
          <t>watch</t>
        </is>
      </c>
      <c r="AK143" s="12" t="n">
        <v>6</v>
      </c>
      <c r="AL143" s="15" t="inlineStr">
        <is>
          <t>Willis Towers Watson Q3 2026 Earnings Call Transcript</t>
        </is>
      </c>
      <c r="AM143" s="17" t="n">
        <v>322.725</v>
      </c>
      <c r="AN143" s="19" t="n">
        <v>-0.0025</v>
      </c>
      <c r="AO143" s="17" t="n">
        <v>99429.17999999999</v>
      </c>
      <c r="AP143" s="17" t="n">
        <v>99429.17999999999</v>
      </c>
      <c r="AQ143" s="19" t="n">
        <v>0.0833</v>
      </c>
      <c r="AR143" s="16" t="n"/>
      <c r="AS143" s="17" t="n"/>
      <c r="AT143" s="19" t="n"/>
      <c r="AU143" s="6" t="inlineStr">
        <is>
          <t>paper</t>
        </is>
      </c>
      <c r="AV143" s="6" t="inlineStr">
        <is>
          <t>4080f48b-6805-43bd-a8b5-cdcfa33ccf8e</t>
        </is>
      </c>
      <c r="AW143" s="6" t="inlineStr">
        <is>
          <t>tdagent-buy-WTW-1793367081759</t>
        </is>
      </c>
      <c r="AX143" s="13" t="n">
        <v>46325.5634375</v>
      </c>
      <c r="AY143" s="13" t="n">
        <v>46325.56547453703</v>
      </c>
      <c r="AZ143" s="13" t="n">
        <v>46325.5627662037</v>
      </c>
      <c r="BA143" s="6" t="n"/>
    </row>
    <row r="144">
      <c r="A144" s="12" t="n">
        <v>143</v>
      </c>
      <c r="B144" s="13" t="n">
        <v>46325.60696759259</v>
      </c>
      <c r="C144" s="13" t="n">
        <v>46325.39863425926</v>
      </c>
      <c r="D144" s="13" t="n">
        <v>46325.56530092593</v>
      </c>
      <c r="E144" s="14" t="inlineStr">
        <is>
          <t>BUY</t>
        </is>
      </c>
      <c r="F144" s="6" t="inlineStr">
        <is>
          <t>MPC</t>
        </is>
      </c>
      <c r="G144" s="15" t="inlineStr">
        <is>
          <t>MARATHON PETROLEUM CORPORATION</t>
        </is>
      </c>
      <c r="H144" s="6" t="inlineStr">
        <is>
          <t>NYSE</t>
        </is>
      </c>
      <c r="I144" s="6" t="inlineStr">
        <is>
          <t>filled</t>
        </is>
      </c>
      <c r="J144" s="16" t="n">
        <v>18.738552036</v>
      </c>
      <c r="K144" s="17" t="n">
        <v>442</v>
      </c>
      <c r="L144" s="17">
        <f>IF(AND(ISNUMBER(J144),ISNUMBER(K144)),J144*K144,"")</f>
        <v/>
      </c>
      <c r="M144" s="17" t="n">
        <v>8282.450000000001</v>
      </c>
      <c r="N144" s="16" t="n"/>
      <c r="O144" s="6" t="inlineStr">
        <is>
          <t>4+/5 green</t>
        </is>
      </c>
      <c r="P144" s="15" t="inlineStr">
        <is>
          <t>5 of 5 green, time machine green, rank #9, 8.33% of the $99,429.18 free cash split 12 ways</t>
        </is>
      </c>
      <c r="Q144" s="12" t="n">
        <v>5</v>
      </c>
      <c r="R144" s="6" t="inlineStr">
        <is>
          <t>ok</t>
        </is>
      </c>
      <c r="S144" s="18" t="n">
        <v>0.6820000000000001</v>
      </c>
      <c r="T144" s="12" t="n">
        <v>85</v>
      </c>
      <c r="U144" s="19" t="n">
        <v>0.0249</v>
      </c>
      <c r="V144" s="19" t="n">
        <v>0.2893</v>
      </c>
      <c r="W144" s="12" t="n">
        <v>9</v>
      </c>
      <c r="X144" s="6" t="inlineStr">
        <is>
          <t>ok</t>
        </is>
      </c>
      <c r="Y144" s="19" t="n">
        <v>0</v>
      </c>
      <c r="Z144" s="6" t="inlineStr">
        <is>
          <t>ok</t>
        </is>
      </c>
      <c r="AA144" s="12" t="n">
        <v>80</v>
      </c>
      <c r="AB144" s="15" t="inlineStr">
        <is>
          <t>One day (-7.4%) did 80% of the 10-day move. The trend rests on a single jump.</t>
        </is>
      </c>
      <c r="AC144" s="6" t="inlineStr">
        <is>
          <t>ok</t>
        </is>
      </c>
      <c r="AD144" s="6" t="inlineStr">
        <is>
          <t>up</t>
        </is>
      </c>
      <c r="AE144" s="17" t="n">
        <v>441.7857</v>
      </c>
      <c r="AF144" s="17" t="n">
        <v>418.6214</v>
      </c>
      <c r="AG144" s="17" t="n">
        <v>464.95</v>
      </c>
      <c r="AH144" s="20" t="n">
        <v>46332</v>
      </c>
      <c r="AI144" s="18" t="n">
        <v>0.53</v>
      </c>
      <c r="AJ144" s="6" t="inlineStr">
        <is>
          <t>ok</t>
        </is>
      </c>
      <c r="AK144" s="12" t="n">
        <v>3</v>
      </c>
      <c r="AL144" s="15" t="inlineStr">
        <is>
          <t>Reported Earlier, Marathon Petroleum Raises Quarterly Dividend 10% To $1.10 Per Share From $1.00, Payable Dec. 10, 2026, To Shareholders Of Record As Of Nov. 18</t>
        </is>
      </c>
      <c r="AM144" s="17" t="n">
        <v>432.52</v>
      </c>
      <c r="AN144" s="19" t="n">
        <v>-0.0184</v>
      </c>
      <c r="AO144" s="17" t="n">
        <v>99429.17999999999</v>
      </c>
      <c r="AP144" s="17" t="n">
        <v>99429.17999999999</v>
      </c>
      <c r="AQ144" s="19" t="n">
        <v>0.0833</v>
      </c>
      <c r="AR144" s="16" t="n"/>
      <c r="AS144" s="17" t="n"/>
      <c r="AT144" s="19" t="n"/>
      <c r="AU144" s="6" t="inlineStr">
        <is>
          <t>paper</t>
        </is>
      </c>
      <c r="AV144" s="6" t="inlineStr">
        <is>
          <t>90c35321-ddbd-467a-bdd7-1f209883669a</t>
        </is>
      </c>
      <c r="AW144" s="6" t="inlineStr">
        <is>
          <t>tdagent-buy-MPC-1793367081834</t>
        </is>
      </c>
      <c r="AX144" s="13" t="n">
        <v>46325.5634375</v>
      </c>
      <c r="AY144" s="13" t="n">
        <v>46325.56530092593</v>
      </c>
      <c r="AZ144" s="13" t="n">
        <v>46325.5627662037</v>
      </c>
      <c r="BA144" s="6" t="n"/>
    </row>
    <row r="145">
      <c r="A145" s="12" t="n">
        <v>144</v>
      </c>
      <c r="B145" s="13" t="n">
        <v>46325.60626157407</v>
      </c>
      <c r="C145" s="13" t="n">
        <v>46325.39792824074</v>
      </c>
      <c r="D145" s="13" t="n">
        <v>46325.56459490741</v>
      </c>
      <c r="E145" s="14" t="inlineStr">
        <is>
          <t>BUY</t>
        </is>
      </c>
      <c r="F145" s="6" t="inlineStr">
        <is>
          <t>EBAY</t>
        </is>
      </c>
      <c r="G145" s="15" t="inlineStr">
        <is>
          <t>eBay Inc. Common Stock</t>
        </is>
      </c>
      <c r="H145" s="6" t="inlineStr">
        <is>
          <t>NASDAQ</t>
        </is>
      </c>
      <c r="I145" s="6" t="inlineStr">
        <is>
          <t>filled</t>
        </is>
      </c>
      <c r="J145" s="16" t="n">
        <v>68.49520344</v>
      </c>
      <c r="K145" s="17" t="n">
        <v>120.92</v>
      </c>
      <c r="L145" s="17">
        <f>IF(AND(ISNUMBER(J145),ISNUMBER(K145)),J145*K145,"")</f>
        <v/>
      </c>
      <c r="M145" s="17" t="n">
        <v>8282.450000000001</v>
      </c>
      <c r="N145" s="16" t="n"/>
      <c r="O145" s="6" t="inlineStr">
        <is>
          <t>4+/5 green</t>
        </is>
      </c>
      <c r="P145" s="15" t="inlineStr">
        <is>
          <t>4 of 5 green, time machine green, rank #10, 8.33% of the $99,429.18 free cash split 12 ways</t>
        </is>
      </c>
      <c r="Q145" s="12" t="n">
        <v>4</v>
      </c>
      <c r="R145" s="6" t="inlineStr">
        <is>
          <t>ok</t>
        </is>
      </c>
      <c r="S145" s="18" t="n">
        <v>0.55</v>
      </c>
      <c r="T145" s="12" t="n">
        <v>40</v>
      </c>
      <c r="U145" s="19" t="n">
        <v>0.005500000000000001</v>
      </c>
      <c r="V145" s="19" t="n">
        <v>0.2893</v>
      </c>
      <c r="W145" s="12" t="n">
        <v>10</v>
      </c>
      <c r="X145" s="6" t="inlineStr">
        <is>
          <t>ok</t>
        </is>
      </c>
      <c r="Y145" s="19" t="n">
        <v>0.0009</v>
      </c>
      <c r="Z145" s="6" t="inlineStr">
        <is>
          <t>ok</t>
        </is>
      </c>
      <c r="AA145" s="12" t="n">
        <v>100</v>
      </c>
      <c r="AB145" s="15" t="n"/>
      <c r="AC145" s="6" t="inlineStr">
        <is>
          <t>ok</t>
        </is>
      </c>
      <c r="AD145" s="6" t="inlineStr">
        <is>
          <t>up</t>
        </is>
      </c>
      <c r="AE145" s="17" t="n">
        <v>123.3662</v>
      </c>
      <c r="AF145" s="17" t="n">
        <v>118.3007</v>
      </c>
      <c r="AG145" s="17" t="n">
        <v>128.4317</v>
      </c>
      <c r="AH145" s="20" t="n">
        <v>46332</v>
      </c>
      <c r="AI145" s="18" t="n">
        <v>0.55</v>
      </c>
      <c r="AJ145" s="6" t="inlineStr">
        <is>
          <t>watch</t>
        </is>
      </c>
      <c r="AK145" s="12" t="n">
        <v>10</v>
      </c>
      <c r="AL145" s="15" t="inlineStr">
        <is>
          <t>Susquehanna Maintains Neutral on eBay, Raises Price Target to $125</t>
        </is>
      </c>
      <c r="AM145" s="17" t="n">
        <v>121.45</v>
      </c>
      <c r="AN145" s="19" t="n">
        <v>0.0288</v>
      </c>
      <c r="AO145" s="17" t="n">
        <v>99429.17999999999</v>
      </c>
      <c r="AP145" s="17" t="n">
        <v>99429.17999999999</v>
      </c>
      <c r="AQ145" s="19" t="n">
        <v>0.0833</v>
      </c>
      <c r="AR145" s="16" t="n"/>
      <c r="AS145" s="17" t="n"/>
      <c r="AT145" s="19" t="n"/>
      <c r="AU145" s="6" t="inlineStr">
        <is>
          <t>paper</t>
        </is>
      </c>
      <c r="AV145" s="6" t="inlineStr">
        <is>
          <t>bf9079fb-f332-4a9e-8e61-0ea1e7f0299f</t>
        </is>
      </c>
      <c r="AW145" s="6" t="inlineStr">
        <is>
          <t>tdagent-buy-EBAY-1793367081920</t>
        </is>
      </c>
      <c r="AX145" s="13" t="n">
        <v>46325.5634375</v>
      </c>
      <c r="AY145" s="13" t="n">
        <v>46325.56459490741</v>
      </c>
      <c r="AZ145" s="13" t="n">
        <v>46325.5627662037</v>
      </c>
      <c r="BA145" s="6" t="n"/>
    </row>
    <row r="146">
      <c r="A146" s="12" t="n">
        <v>145</v>
      </c>
      <c r="B146" s="13" t="n">
        <v>46325.60633101852</v>
      </c>
      <c r="C146" s="13" t="n">
        <v>46325.39799768518</v>
      </c>
      <c r="D146" s="13" t="n">
        <v>46325.56466435185</v>
      </c>
      <c r="E146" s="14" t="inlineStr">
        <is>
          <t>BUY</t>
        </is>
      </c>
      <c r="F146" s="6" t="inlineStr">
        <is>
          <t>EQT</t>
        </is>
      </c>
      <c r="G146" s="15" t="inlineStr">
        <is>
          <t>EQT CORP</t>
        </is>
      </c>
      <c r="H146" s="6" t="inlineStr">
        <is>
          <t>NYSE</t>
        </is>
      </c>
      <c r="I146" s="6" t="inlineStr">
        <is>
          <t>filled</t>
        </is>
      </c>
      <c r="J146" s="16" t="n">
        <v>150.343801052</v>
      </c>
      <c r="K146" s="17" t="n">
        <v>55.09</v>
      </c>
      <c r="L146" s="17">
        <f>IF(AND(ISNUMBER(J146),ISNUMBER(K146)),J146*K146,"")</f>
        <v/>
      </c>
      <c r="M146" s="17" t="n">
        <v>8282.450000000001</v>
      </c>
      <c r="N146" s="16" t="n"/>
      <c r="O146" s="6" t="inlineStr">
        <is>
          <t>4+/5 green</t>
        </is>
      </c>
      <c r="P146" s="15" t="inlineStr">
        <is>
          <t>5 of 5 green, time machine green, rank #11, 8.33% of the $99,429.18 free cash split 12 ways</t>
        </is>
      </c>
      <c r="Q146" s="12" t="n">
        <v>5</v>
      </c>
      <c r="R146" s="6" t="inlineStr">
        <is>
          <t>ok</t>
        </is>
      </c>
      <c r="S146" s="18" t="n">
        <v>0.552</v>
      </c>
      <c r="T146" s="12" t="n">
        <v>29</v>
      </c>
      <c r="U146" s="19" t="n">
        <v>0.0017</v>
      </c>
      <c r="V146" s="19" t="n">
        <v>0.2893</v>
      </c>
      <c r="W146" s="12" t="n">
        <v>11</v>
      </c>
      <c r="X146" s="6" t="inlineStr">
        <is>
          <t>ok</t>
        </is>
      </c>
      <c r="Y146" s="19" t="n">
        <v>0.0001</v>
      </c>
      <c r="Z146" s="6" t="inlineStr">
        <is>
          <t>ok</t>
        </is>
      </c>
      <c r="AA146" s="12" t="n">
        <v>90</v>
      </c>
      <c r="AB146" s="15" t="inlineStr">
        <is>
          <t>Price gapped 5.1% at an open in the last week.</t>
        </is>
      </c>
      <c r="AC146" s="6" t="inlineStr">
        <is>
          <t>ok</t>
        </is>
      </c>
      <c r="AD146" s="6" t="inlineStr">
        <is>
          <t>up</t>
        </is>
      </c>
      <c r="AE146" s="17" t="n">
        <v>55.3612</v>
      </c>
      <c r="AF146" s="17" t="n">
        <v>53.3331</v>
      </c>
      <c r="AG146" s="17" t="n">
        <v>57.3893</v>
      </c>
      <c r="AH146" s="20" t="n">
        <v>46332</v>
      </c>
      <c r="AI146" s="18" t="n">
        <v>0.53</v>
      </c>
      <c r="AJ146" s="6" t="inlineStr">
        <is>
          <t>ok</t>
        </is>
      </c>
      <c r="AK146" s="12" t="n">
        <v>3</v>
      </c>
      <c r="AL146" s="15" t="inlineStr">
        <is>
          <t>UBS Maintains Buy on EQT, Lowers Price Target to $74</t>
        </is>
      </c>
      <c r="AM146" s="17" t="n">
        <v>54.555</v>
      </c>
      <c r="AN146" s="19" t="n">
        <v>-0.0299</v>
      </c>
      <c r="AO146" s="17" t="n">
        <v>99429.17999999999</v>
      </c>
      <c r="AP146" s="17" t="n">
        <v>99429.17999999999</v>
      </c>
      <c r="AQ146" s="19" t="n">
        <v>0.0833</v>
      </c>
      <c r="AR146" s="16" t="n"/>
      <c r="AS146" s="17" t="n"/>
      <c r="AT146" s="19" t="n"/>
      <c r="AU146" s="6" t="inlineStr">
        <is>
          <t>paper</t>
        </is>
      </c>
      <c r="AV146" s="6" t="inlineStr">
        <is>
          <t>9194868d-072a-4e4b-9802-c5706295191a</t>
        </is>
      </c>
      <c r="AW146" s="6" t="inlineStr">
        <is>
          <t>tdagent-buy-EQT-1793367081985</t>
        </is>
      </c>
      <c r="AX146" s="13" t="n">
        <v>46325.5634375</v>
      </c>
      <c r="AY146" s="13" t="n">
        <v>46325.56466435185</v>
      </c>
      <c r="AZ146" s="13" t="n">
        <v>46325.5627662037</v>
      </c>
      <c r="BA146" s="6" t="n"/>
    </row>
    <row r="147">
      <c r="A147" s="12" t="n">
        <v>146</v>
      </c>
      <c r="B147" s="13" t="n">
        <v>46325.60664351852</v>
      </c>
      <c r="C147" s="13" t="n">
        <v>46325.39831018518</v>
      </c>
      <c r="D147" s="13" t="n">
        <v>46325.56497685185</v>
      </c>
      <c r="E147" s="14" t="inlineStr">
        <is>
          <t>BUY</t>
        </is>
      </c>
      <c r="F147" s="6" t="inlineStr">
        <is>
          <t>SHEL</t>
        </is>
      </c>
      <c r="G147" s="15" t="inlineStr">
        <is>
          <t>Shell plc American Depositary Shares (Each represents two Ordinary shares)</t>
        </is>
      </c>
      <c r="H147" s="6" t="inlineStr">
        <is>
          <t>NYSE</t>
        </is>
      </c>
      <c r="I147" s="6" t="inlineStr">
        <is>
          <t>filled</t>
        </is>
      </c>
      <c r="J147" s="16" t="n">
        <v>76.12460944599999</v>
      </c>
      <c r="K147" s="17" t="n">
        <v>108.801084</v>
      </c>
      <c r="L147" s="17">
        <f>IF(AND(ISNUMBER(J147),ISNUMBER(K147)),J147*K147,"")</f>
        <v/>
      </c>
      <c r="M147" s="17" t="n">
        <v>8282.450000000001</v>
      </c>
      <c r="N147" s="16" t="n"/>
      <c r="O147" s="6" t="inlineStr">
        <is>
          <t>4+/5 green</t>
        </is>
      </c>
      <c r="P147" s="15" t="inlineStr">
        <is>
          <t>4 of 5 green, time machine green, rank #12, 8.33% of the $99,429.18 free cash split 12 ways</t>
        </is>
      </c>
      <c r="Q147" s="12" t="n">
        <v>4</v>
      </c>
      <c r="R147" s="6" t="inlineStr">
        <is>
          <t>ok</t>
        </is>
      </c>
      <c r="S147" s="18" t="n">
        <v>0.674</v>
      </c>
      <c r="T147" s="12" t="n">
        <v>89</v>
      </c>
      <c r="U147" s="19" t="n">
        <v>0.0129</v>
      </c>
      <c r="V147" s="19" t="n">
        <v>0.2893</v>
      </c>
      <c r="W147" s="12" t="n">
        <v>12</v>
      </c>
      <c r="X147" s="6" t="inlineStr">
        <is>
          <t>ok</t>
        </is>
      </c>
      <c r="Y147" s="19" t="n">
        <v>0.0072</v>
      </c>
      <c r="Z147" s="6" t="inlineStr">
        <is>
          <t>ok</t>
        </is>
      </c>
      <c r="AA147" s="12" t="n">
        <v>80</v>
      </c>
      <c r="AB147" s="15" t="inlineStr">
        <is>
          <t>One day (+3.0%) did 76% of the 10-day move. The trend rests on a single jump.</t>
        </is>
      </c>
      <c r="AC147" s="6" t="inlineStr">
        <is>
          <t>ok</t>
        </is>
      </c>
      <c r="AD147" s="6" t="inlineStr">
        <is>
          <t>up</t>
        </is>
      </c>
      <c r="AE147" s="17" t="n">
        <v>108.9052</v>
      </c>
      <c r="AF147" s="17" t="n">
        <v>105.8173</v>
      </c>
      <c r="AG147" s="17" t="n">
        <v>111.993</v>
      </c>
      <c r="AH147" s="20" t="n">
        <v>46332</v>
      </c>
      <c r="AI147" s="18" t="n">
        <v>0.58</v>
      </c>
      <c r="AJ147" s="6" t="inlineStr">
        <is>
          <t>watch</t>
        </is>
      </c>
      <c r="AK147" s="12" t="n">
        <v>10</v>
      </c>
      <c r="AL147" s="15" t="inlineStr">
        <is>
          <t>Shell Q3 Earnings Reach Highest Level Since 2022 Amid Middle-East Turmoil</t>
        </is>
      </c>
      <c r="AM147" s="17" t="n">
        <v>108.45</v>
      </c>
      <c r="AN147" s="19" t="n">
        <v>0.0244</v>
      </c>
      <c r="AO147" s="17" t="n">
        <v>99429.17999999999</v>
      </c>
      <c r="AP147" s="17" t="n">
        <v>99429.17999999999</v>
      </c>
      <c r="AQ147" s="19" t="n">
        <v>0.0833</v>
      </c>
      <c r="AR147" s="16" t="n"/>
      <c r="AS147" s="17" t="n"/>
      <c r="AT147" s="19" t="n"/>
      <c r="AU147" s="6" t="inlineStr">
        <is>
          <t>paper</t>
        </is>
      </c>
      <c r="AV147" s="6" t="inlineStr">
        <is>
          <t>de9144d0-8cb1-416e-a57b-fbb5f6a89c52</t>
        </is>
      </c>
      <c r="AW147" s="6" t="inlineStr">
        <is>
          <t>tdagent-buy-SHEL-1793367082064</t>
        </is>
      </c>
      <c r="AX147" s="13" t="n">
        <v>46325.56344907408</v>
      </c>
      <c r="AY147" s="13" t="n">
        <v>46325.56497685185</v>
      </c>
      <c r="AZ147" s="13" t="n">
        <v>46325.5627662037</v>
      </c>
      <c r="BA147" s="6" t="n"/>
    </row>
    <row r="148">
      <c r="A148" s="12" t="n">
        <v>147</v>
      </c>
      <c r="B148" s="13" t="n">
        <v>46325.6091087963</v>
      </c>
      <c r="C148" s="13" t="n">
        <v>46325.40077546296</v>
      </c>
      <c r="D148" s="13" t="n">
        <v>46325.56744212963</v>
      </c>
      <c r="E148" s="21" t="inlineStr">
        <is>
          <t>SELL</t>
        </is>
      </c>
      <c r="F148" s="6" t="inlineStr">
        <is>
          <t>IQV</t>
        </is>
      </c>
      <c r="G148" s="15" t="inlineStr">
        <is>
          <t>IQV</t>
        </is>
      </c>
      <c r="H148" s="6" t="inlineStr">
        <is>
          <t>NYSE</t>
        </is>
      </c>
      <c r="I148" s="6" t="inlineStr">
        <is>
          <t>filled</t>
        </is>
      </c>
      <c r="J148" s="16" t="n">
        <v>30.574919709</v>
      </c>
      <c r="K148" s="17" t="n">
        <v>270.36</v>
      </c>
      <c r="L148" s="17">
        <f>IF(AND(ISNUMBER(J148),ISNUMBER(K148)),J148*K148,"")</f>
        <v/>
      </c>
      <c r="M148" s="17" t="n"/>
      <c r="N148" s="16" t="n">
        <v>30.574919709</v>
      </c>
      <c r="O148" s="6" t="inlineStr">
        <is>
          <t>2 or fewer green</t>
        </is>
      </c>
      <c r="P148" s="15" t="inlineStr">
        <is>
          <t>Only 1 of 5 green</t>
        </is>
      </c>
      <c r="Q148" s="12" t="n">
        <v>1</v>
      </c>
      <c r="R148" s="6" t="inlineStr">
        <is>
          <t>ok</t>
        </is>
      </c>
      <c r="S148" s="18" t="n">
        <v>0.608</v>
      </c>
      <c r="T148" s="12" t="n">
        <v>74</v>
      </c>
      <c r="U148" s="19" t="n">
        <v>0.0149</v>
      </c>
      <c r="V148" s="19" t="n">
        <v>0.2893</v>
      </c>
      <c r="W148" s="12" t="n"/>
      <c r="X148" s="6" t="inlineStr">
        <is>
          <t>watch</t>
        </is>
      </c>
      <c r="Y148" s="19" t="n">
        <v>0.0102</v>
      </c>
      <c r="Z148" s="6" t="inlineStr">
        <is>
          <t>alert</t>
        </is>
      </c>
      <c r="AA148" s="12" t="n">
        <v>70</v>
      </c>
      <c r="AB148" s="15" t="inlineStr">
        <is>
          <t>Rose 3.4% then gave back most of it within hours. Looks like pump-and-fade.</t>
        </is>
      </c>
      <c r="AC148" s="6" t="inlineStr">
        <is>
          <t>watch</t>
        </is>
      </c>
      <c r="AD148" s="6" t="inlineStr">
        <is>
          <t>flat</t>
        </is>
      </c>
      <c r="AE148" s="17" t="n">
        <v>269.445</v>
      </c>
      <c r="AF148" s="17" t="n">
        <v>259.6489</v>
      </c>
      <c r="AG148" s="17" t="n">
        <v>279.2411</v>
      </c>
      <c r="AH148" s="20" t="n">
        <v>46332</v>
      </c>
      <c r="AI148" s="18" t="n">
        <v>0.5</v>
      </c>
      <c r="AJ148" s="6" t="inlineStr">
        <is>
          <t>watch</t>
        </is>
      </c>
      <c r="AK148" s="12" t="n">
        <v>7</v>
      </c>
      <c r="AL148" s="15" t="inlineStr">
        <is>
          <t>TD Cowen Maintains Buy on IQVIA Holdings, Raises Price Target to $307</t>
        </is>
      </c>
      <c r="AM148" s="17" t="n">
        <v>269.445</v>
      </c>
      <c r="AN148" s="19" t="n">
        <v>-0.019</v>
      </c>
      <c r="AO148" s="17" t="n">
        <v>99570.17</v>
      </c>
      <c r="AP148" s="17" t="n">
        <v>8322.34</v>
      </c>
      <c r="AQ148" s="19" t="n">
        <v>0.0833</v>
      </c>
      <c r="AR148" s="16" t="n">
        <v>30.574919709</v>
      </c>
      <c r="AS148" s="17" t="n">
        <v>270.89</v>
      </c>
      <c r="AT148" s="19" t="n">
        <v>-0.0001</v>
      </c>
      <c r="AU148" s="6" t="inlineStr">
        <is>
          <t>paper</t>
        </is>
      </c>
      <c r="AV148" s="6" t="inlineStr">
        <is>
          <t>37b862e6-6e57-487a-ac6f-930b1731f235</t>
        </is>
      </c>
      <c r="AW148" s="6" t="inlineStr">
        <is>
          <t>tdagent-sell-IQV-1793367425337</t>
        </is>
      </c>
      <c r="AX148" s="13" t="n">
        <v>46325.56741898148</v>
      </c>
      <c r="AY148" s="13" t="n">
        <v>46325.56744212963</v>
      </c>
      <c r="AZ148" s="13" t="n">
        <v>46325.56684027778</v>
      </c>
      <c r="BA148" s="6" t="n"/>
    </row>
    <row r="149">
      <c r="A149" s="12" t="n">
        <v>148</v>
      </c>
      <c r="B149" s="13" t="n">
        <v>46325.60908564815</v>
      </c>
      <c r="C149" s="13" t="n">
        <v>46325.40075231482</v>
      </c>
      <c r="D149" s="13" t="n">
        <v>46325.56741898148</v>
      </c>
      <c r="E149" s="14" t="inlineStr">
        <is>
          <t>BUY</t>
        </is>
      </c>
      <c r="F149" s="6" t="inlineStr">
        <is>
          <t>ADI</t>
        </is>
      </c>
      <c r="G149" s="15" t="inlineStr">
        <is>
          <t>Analog Devices, Inc. Common Stock</t>
        </is>
      </c>
      <c r="H149" s="6" t="inlineStr">
        <is>
          <t>NASDAQ</t>
        </is>
      </c>
      <c r="I149" s="6" t="inlineStr">
        <is>
          <t>filled</t>
        </is>
      </c>
      <c r="J149" s="16" t="n">
        <v>1.637432978</v>
      </c>
      <c r="K149" s="17" t="n">
        <v>423.37</v>
      </c>
      <c r="L149" s="17">
        <f>IF(AND(ISNUMBER(J149),ISNUMBER(K149)),J149*K149,"")</f>
        <v/>
      </c>
      <c r="M149" s="17" t="n">
        <v>693.25</v>
      </c>
      <c r="N149" s="16" t="n"/>
      <c r="O149" s="6" t="inlineStr">
        <is>
          <t>4+/5 green</t>
        </is>
      </c>
      <c r="P149" s="15" t="inlineStr">
        <is>
          <t>5 of 5 green, time machine green, rank #1, 8.33% of the $8,322.34 free cash split 12 ways</t>
        </is>
      </c>
      <c r="Q149" s="12" t="n">
        <v>5</v>
      </c>
      <c r="R149" s="6" t="inlineStr">
        <is>
          <t>ok</t>
        </is>
      </c>
      <c r="S149" s="18" t="n">
        <v>0.707</v>
      </c>
      <c r="T149" s="12" t="n">
        <v>75</v>
      </c>
      <c r="U149" s="19" t="n">
        <v>0.0147</v>
      </c>
      <c r="V149" s="19" t="n">
        <v>0.2893</v>
      </c>
      <c r="W149" s="12" t="n">
        <v>1</v>
      </c>
      <c r="X149" s="6" t="inlineStr">
        <is>
          <t>ok</t>
        </is>
      </c>
      <c r="Y149" s="19" t="n">
        <v>0.0018</v>
      </c>
      <c r="Z149" s="6" t="inlineStr">
        <is>
          <t>ok</t>
        </is>
      </c>
      <c r="AA149" s="12" t="n">
        <v>100</v>
      </c>
      <c r="AB149" s="15" t="n"/>
      <c r="AC149" s="6" t="inlineStr">
        <is>
          <t>ok</t>
        </is>
      </c>
      <c r="AD149" s="6" t="inlineStr">
        <is>
          <t>up</t>
        </is>
      </c>
      <c r="AE149" s="17" t="n">
        <v>430.0826</v>
      </c>
      <c r="AF149" s="17" t="n">
        <v>411.051</v>
      </c>
      <c r="AG149" s="17" t="n">
        <v>449.1142</v>
      </c>
      <c r="AH149" s="20" t="n">
        <v>46332</v>
      </c>
      <c r="AI149" s="18" t="n">
        <v>0.54</v>
      </c>
      <c r="AJ149" s="6" t="inlineStr">
        <is>
          <t>ok</t>
        </is>
      </c>
      <c r="AK149" s="12" t="n">
        <v>2</v>
      </c>
      <c r="AL149" s="15" t="inlineStr">
        <is>
          <t>If You Invested $1000 In Analog Devices Stock 5 Years Ago, You Would Have This Much Today</t>
        </is>
      </c>
      <c r="AM149" s="17" t="n">
        <v>422.58</v>
      </c>
      <c r="AN149" s="19" t="n">
        <v>-0.0248</v>
      </c>
      <c r="AO149" s="17" t="n">
        <v>99570.17</v>
      </c>
      <c r="AP149" s="17" t="n">
        <v>8322.34</v>
      </c>
      <c r="AQ149" s="19" t="n">
        <v>0.0833</v>
      </c>
      <c r="AR149" s="16" t="n"/>
      <c r="AS149" s="17" t="n"/>
      <c r="AT149" s="19" t="n"/>
      <c r="AU149" s="6" t="inlineStr">
        <is>
          <t>paper</t>
        </is>
      </c>
      <c r="AV149" s="6" t="inlineStr">
        <is>
          <t>1d4e579a-c77c-4eee-9733-1b9a79afe2c7</t>
        </is>
      </c>
      <c r="AW149" s="6" t="inlineStr">
        <is>
          <t>tdagent-buy-ADI-1793367425725</t>
        </is>
      </c>
      <c r="AX149" s="13" t="n">
        <v>46325.56741898148</v>
      </c>
      <c r="AY149" s="13" t="n">
        <v>46325.56741898148</v>
      </c>
      <c r="AZ149" s="13" t="n">
        <v>46325.56684027778</v>
      </c>
      <c r="BA149" s="6" t="n"/>
    </row>
    <row r="150">
      <c r="A150" s="12" t="n">
        <v>149</v>
      </c>
      <c r="B150" s="13" t="n">
        <v>46325.60914351852</v>
      </c>
      <c r="C150" s="13" t="n">
        <v>46325.40081018519</v>
      </c>
      <c r="D150" s="13" t="n">
        <v>46325.56747685185</v>
      </c>
      <c r="E150" s="14" t="inlineStr">
        <is>
          <t>BUY</t>
        </is>
      </c>
      <c r="F150" s="6" t="inlineStr">
        <is>
          <t>OXY</t>
        </is>
      </c>
      <c r="G150" s="15" t="inlineStr">
        <is>
          <t>Occidental Petroleum Corporation</t>
        </is>
      </c>
      <c r="H150" s="6" t="inlineStr">
        <is>
          <t>NYSE</t>
        </is>
      </c>
      <c r="I150" s="6" t="inlineStr">
        <is>
          <t>filled</t>
        </is>
      </c>
      <c r="J150" s="16" t="n">
        <v>10.872647427</v>
      </c>
      <c r="K150" s="17" t="n">
        <v>63.76</v>
      </c>
      <c r="L150" s="17">
        <f>IF(AND(ISNUMBER(J150),ISNUMBER(K150)),J150*K150,"")</f>
        <v/>
      </c>
      <c r="M150" s="17" t="n">
        <v>693.25</v>
      </c>
      <c r="N150" s="16" t="n"/>
      <c r="O150" s="6" t="inlineStr">
        <is>
          <t>4+/5 green</t>
        </is>
      </c>
      <c r="P150" s="15" t="inlineStr">
        <is>
          <t>5 of 5 green, time machine green, rank #3, 8.33% of the $8,322.34 free cash split 12 ways</t>
        </is>
      </c>
      <c r="Q150" s="12" t="n">
        <v>5</v>
      </c>
      <c r="R150" s="6" t="inlineStr">
        <is>
          <t>ok</t>
        </is>
      </c>
      <c r="S150" s="18" t="n">
        <v>0.621</v>
      </c>
      <c r="T150" s="12" t="n">
        <v>58</v>
      </c>
      <c r="U150" s="19" t="n">
        <v>0.0105</v>
      </c>
      <c r="V150" s="19" t="n">
        <v>0.2893</v>
      </c>
      <c r="W150" s="12" t="n">
        <v>3</v>
      </c>
      <c r="X150" s="6" t="inlineStr">
        <is>
          <t>ok</t>
        </is>
      </c>
      <c r="Y150" s="19" t="n">
        <v>0.0007000000000000001</v>
      </c>
      <c r="Z150" s="6" t="inlineStr">
        <is>
          <t>ok</t>
        </is>
      </c>
      <c r="AA150" s="12" t="n">
        <v>100</v>
      </c>
      <c r="AB150" s="15" t="n"/>
      <c r="AC150" s="6" t="inlineStr">
        <is>
          <t>ok</t>
        </is>
      </c>
      <c r="AD150" s="6" t="inlineStr">
        <is>
          <t>up</t>
        </is>
      </c>
      <c r="AE150" s="17" t="n">
        <v>64.5534</v>
      </c>
      <c r="AF150" s="17" t="n">
        <v>62.0074</v>
      </c>
      <c r="AG150" s="17" t="n">
        <v>67.0994</v>
      </c>
      <c r="AH150" s="20" t="n">
        <v>46332</v>
      </c>
      <c r="AI150" s="18" t="n">
        <v>0.54</v>
      </c>
      <c r="AJ150" s="6" t="inlineStr">
        <is>
          <t>ok</t>
        </is>
      </c>
      <c r="AK150" s="12" t="n">
        <v>0</v>
      </c>
      <c r="AL150" s="15" t="n"/>
      <c r="AM150" s="17" t="n">
        <v>63.49</v>
      </c>
      <c r="AN150" s="19" t="n">
        <v>0.008500000000000001</v>
      </c>
      <c r="AO150" s="17" t="n">
        <v>99570.17</v>
      </c>
      <c r="AP150" s="17" t="n">
        <v>8322.34</v>
      </c>
      <c r="AQ150" s="19" t="n">
        <v>0.0833</v>
      </c>
      <c r="AR150" s="16" t="n"/>
      <c r="AS150" s="17" t="n"/>
      <c r="AT150" s="19" t="n"/>
      <c r="AU150" s="6" t="inlineStr">
        <is>
          <t>paper</t>
        </is>
      </c>
      <c r="AV150" s="6" t="inlineStr">
        <is>
          <t>64ee67ad-aa68-41d6-af90-78737e29bde2</t>
        </is>
      </c>
      <c r="AW150" s="6" t="inlineStr">
        <is>
          <t>tdagent-buy-OXY-1793367426265</t>
        </is>
      </c>
      <c r="AX150" s="13" t="n">
        <v>46325.56743055556</v>
      </c>
      <c r="AY150" s="13" t="n">
        <v>46325.56747685185</v>
      </c>
      <c r="AZ150" s="13" t="n">
        <v>46325.56684027778</v>
      </c>
      <c r="BA150" s="6" t="n"/>
    </row>
    <row r="151">
      <c r="A151" s="12" t="n">
        <v>150</v>
      </c>
      <c r="B151" s="13" t="n">
        <v>46325.60912037037</v>
      </c>
      <c r="C151" s="13" t="n">
        <v>46325.40078703704</v>
      </c>
      <c r="D151" s="13" t="n">
        <v>46325.5674537037</v>
      </c>
      <c r="E151" s="14" t="inlineStr">
        <is>
          <t>BUY</t>
        </is>
      </c>
      <c r="F151" s="6" t="inlineStr">
        <is>
          <t>ABBV</t>
        </is>
      </c>
      <c r="G151" s="15" t="inlineStr">
        <is>
          <t>ABBVIE INC.</t>
        </is>
      </c>
      <c r="H151" s="6" t="inlineStr">
        <is>
          <t>NYSE</t>
        </is>
      </c>
      <c r="I151" s="6" t="inlineStr">
        <is>
          <t>filled</t>
        </is>
      </c>
      <c r="J151" s="16" t="n">
        <v>2.342106152</v>
      </c>
      <c r="K151" s="17" t="n">
        <v>295.99</v>
      </c>
      <c r="L151" s="17">
        <f>IF(AND(ISNUMBER(J151),ISNUMBER(K151)),J151*K151,"")</f>
        <v/>
      </c>
      <c r="M151" s="17" t="n">
        <v>693.25</v>
      </c>
      <c r="N151" s="16" t="n"/>
      <c r="O151" s="6" t="inlineStr">
        <is>
          <t>4+/5 green</t>
        </is>
      </c>
      <c r="P151" s="15" t="inlineStr">
        <is>
          <t>4 of 5 green, time machine green, rank #4, 8.33% of the $8,322.34 free cash split 12 ways</t>
        </is>
      </c>
      <c r="Q151" s="12" t="n">
        <v>4</v>
      </c>
      <c r="R151" s="6" t="inlineStr">
        <is>
          <t>ok</t>
        </is>
      </c>
      <c r="S151" s="18" t="n">
        <v>0.667</v>
      </c>
      <c r="T151" s="12" t="n">
        <v>39</v>
      </c>
      <c r="U151" s="19" t="n">
        <v>0.0177</v>
      </c>
      <c r="V151" s="19" t="n">
        <v>0.2893</v>
      </c>
      <c r="W151" s="12" t="n">
        <v>4</v>
      </c>
      <c r="X151" s="6" t="inlineStr">
        <is>
          <t>ok</t>
        </is>
      </c>
      <c r="Y151" s="19" t="n">
        <v>0.0013</v>
      </c>
      <c r="Z151" s="6" t="inlineStr">
        <is>
          <t>ok</t>
        </is>
      </c>
      <c r="AA151" s="12" t="n">
        <v>100</v>
      </c>
      <c r="AB151" s="15" t="n"/>
      <c r="AC151" s="6" t="inlineStr">
        <is>
          <t>ok</t>
        </is>
      </c>
      <c r="AD151" s="6" t="inlineStr">
        <is>
          <t>up</t>
        </is>
      </c>
      <c r="AE151" s="17" t="n">
        <v>297.3239</v>
      </c>
      <c r="AF151" s="17" t="n">
        <v>289.2142</v>
      </c>
      <c r="AG151" s="17" t="n">
        <v>305.4336</v>
      </c>
      <c r="AH151" s="20" t="n">
        <v>46332</v>
      </c>
      <c r="AI151" s="18" t="n">
        <v>0.57</v>
      </c>
      <c r="AJ151" s="6" t="inlineStr">
        <is>
          <t>watch</t>
        </is>
      </c>
      <c r="AK151" s="12" t="n">
        <v>10</v>
      </c>
      <c r="AL151" s="15" t="inlineStr">
        <is>
          <t>AbbVie Raises FY2026 Adj EPS Guidance from $13.76-$13.96 to $13.95-$13.99 vs $13.93 Est</t>
        </is>
      </c>
      <c r="AM151" s="17" t="n">
        <v>294.46</v>
      </c>
      <c r="AN151" s="19" t="n">
        <v>0.0115</v>
      </c>
      <c r="AO151" s="17" t="n">
        <v>99570.17</v>
      </c>
      <c r="AP151" s="17" t="n">
        <v>8322.34</v>
      </c>
      <c r="AQ151" s="19" t="n">
        <v>0.0833</v>
      </c>
      <c r="AR151" s="16" t="n"/>
      <c r="AS151" s="17" t="n"/>
      <c r="AT151" s="19" t="n"/>
      <c r="AU151" s="6" t="inlineStr">
        <is>
          <t>paper</t>
        </is>
      </c>
      <c r="AV151" s="6" t="inlineStr">
        <is>
          <t>dbc17052-8288-418e-be59-a06cc90f2b99</t>
        </is>
      </c>
      <c r="AW151" s="6" t="inlineStr">
        <is>
          <t>tdagent-buy-ABBV-1793367426625</t>
        </is>
      </c>
      <c r="AX151" s="13" t="n">
        <v>46325.56743055556</v>
      </c>
      <c r="AY151" s="13" t="n">
        <v>46325.5674537037</v>
      </c>
      <c r="AZ151" s="13" t="n">
        <v>46325.56684027778</v>
      </c>
      <c r="BA151" s="6" t="n"/>
    </row>
    <row r="152">
      <c r="A152" s="12" t="n">
        <v>151</v>
      </c>
      <c r="B152" s="13" t="n">
        <v>46325.60915509259</v>
      </c>
      <c r="C152" s="13" t="n">
        <v>46325.40082175926</v>
      </c>
      <c r="D152" s="13" t="n">
        <v>46325.56748842593</v>
      </c>
      <c r="E152" s="14" t="inlineStr">
        <is>
          <t>BUY</t>
        </is>
      </c>
      <c r="F152" s="6" t="inlineStr">
        <is>
          <t>EQNR</t>
        </is>
      </c>
      <c r="G152" s="15" t="inlineStr">
        <is>
          <t>Equinor ASA American Depositary Shares (Each Representing One Ordinary Share, nominal value NOK 2.50 per share)</t>
        </is>
      </c>
      <c r="H152" s="6" t="inlineStr">
        <is>
          <t>NYSE</t>
        </is>
      </c>
      <c r="I152" s="6" t="inlineStr">
        <is>
          <t>filled</t>
        </is>
      </c>
      <c r="J152" s="16" t="n">
        <v>14.229932252</v>
      </c>
      <c r="K152" s="17" t="n">
        <v>48.717028</v>
      </c>
      <c r="L152" s="17">
        <f>IF(AND(ISNUMBER(J152),ISNUMBER(K152)),J152*K152,"")</f>
        <v/>
      </c>
      <c r="M152" s="17" t="n">
        <v>693.25</v>
      </c>
      <c r="N152" s="16" t="n"/>
      <c r="O152" s="6" t="inlineStr">
        <is>
          <t>4+/5 green</t>
        </is>
      </c>
      <c r="P152" s="15" t="inlineStr">
        <is>
          <t>4 of 5 green, time machine green, rank #7, 8.33% of the $8,322.34 free cash split 12 ways</t>
        </is>
      </c>
      <c r="Q152" s="12" t="n">
        <v>4</v>
      </c>
      <c r="R152" s="6" t="inlineStr">
        <is>
          <t>ok</t>
        </is>
      </c>
      <c r="S152" s="18" t="n">
        <v>0.671</v>
      </c>
      <c r="T152" s="12" t="n">
        <v>79</v>
      </c>
      <c r="U152" s="19" t="n">
        <v>0.0139</v>
      </c>
      <c r="V152" s="19" t="n">
        <v>0.2893</v>
      </c>
      <c r="W152" s="12" t="n">
        <v>7</v>
      </c>
      <c r="X152" s="6" t="inlineStr">
        <is>
          <t>ok</t>
        </is>
      </c>
      <c r="Y152" s="19" t="n">
        <v>0.0007000000000000001</v>
      </c>
      <c r="Z152" s="6" t="inlineStr">
        <is>
          <t>ok</t>
        </is>
      </c>
      <c r="AA152" s="12" t="n">
        <v>100</v>
      </c>
      <c r="AB152" s="15" t="n"/>
      <c r="AC152" s="6" t="inlineStr">
        <is>
          <t>ok</t>
        </is>
      </c>
      <c r="AD152" s="6" t="inlineStr">
        <is>
          <t>up</t>
        </is>
      </c>
      <c r="AE152" s="17" t="n">
        <v>49.4953</v>
      </c>
      <c r="AF152" s="17" t="n">
        <v>47.2321</v>
      </c>
      <c r="AG152" s="17" t="n">
        <v>51.7584</v>
      </c>
      <c r="AH152" s="20" t="n">
        <v>46332</v>
      </c>
      <c r="AI152" s="18" t="n">
        <v>0.55</v>
      </c>
      <c r="AJ152" s="6" t="inlineStr">
        <is>
          <t>watch</t>
        </is>
      </c>
      <c r="AK152" s="12" t="n">
        <v>5</v>
      </c>
      <c r="AL152" s="15" t="inlineStr">
        <is>
          <t>Equinor Q3 2026 Earnings Call Transcript</t>
        </is>
      </c>
      <c r="AM152" s="17" t="n">
        <v>48.56</v>
      </c>
      <c r="AN152" s="19" t="n">
        <v>0.0208</v>
      </c>
      <c r="AO152" s="17" t="n">
        <v>99570.17</v>
      </c>
      <c r="AP152" s="17" t="n">
        <v>8322.34</v>
      </c>
      <c r="AQ152" s="19" t="n">
        <v>0.0833</v>
      </c>
      <c r="AR152" s="16" t="n"/>
      <c r="AS152" s="17" t="n"/>
      <c r="AT152" s="19" t="n"/>
      <c r="AU152" s="6" t="inlineStr">
        <is>
          <t>paper</t>
        </is>
      </c>
      <c r="AV152" s="6" t="inlineStr">
        <is>
          <t>1288753f-a95c-42cc-a3bf-c3902fb74c53</t>
        </is>
      </c>
      <c r="AW152" s="6" t="inlineStr">
        <is>
          <t>tdagent-buy-EQNR-1793367427388</t>
        </is>
      </c>
      <c r="AX152" s="13" t="n">
        <v>46325.56744212963</v>
      </c>
      <c r="AY152" s="13" t="n">
        <v>46325.56748842593</v>
      </c>
      <c r="AZ152" s="13" t="n">
        <v>46325.56684027778</v>
      </c>
      <c r="BA152" s="6" t="n"/>
    </row>
    <row r="153">
      <c r="A153" s="12" t="n">
        <v>152</v>
      </c>
      <c r="B153" s="13" t="n">
        <v>46325.60915509259</v>
      </c>
      <c r="C153" s="13" t="n">
        <v>46325.40082175926</v>
      </c>
      <c r="D153" s="13" t="n">
        <v>46325.56748842593</v>
      </c>
      <c r="E153" s="14" t="inlineStr">
        <is>
          <t>BUY</t>
        </is>
      </c>
      <c r="F153" s="6" t="inlineStr">
        <is>
          <t>SN</t>
        </is>
      </c>
      <c r="G153" s="15" t="inlineStr">
        <is>
          <t>SharkNinja, Inc.</t>
        </is>
      </c>
      <c r="H153" s="6" t="inlineStr">
        <is>
          <t>NYSE</t>
        </is>
      </c>
      <c r="I153" s="6" t="inlineStr">
        <is>
          <t>filled</t>
        </is>
      </c>
      <c r="J153" s="16" t="n">
        <v>3.304762358</v>
      </c>
      <c r="K153" s="17" t="n">
        <v>209.77</v>
      </c>
      <c r="L153" s="17">
        <f>IF(AND(ISNUMBER(J153),ISNUMBER(K153)),J153*K153,"")</f>
        <v/>
      </c>
      <c r="M153" s="17" t="n">
        <v>693.25</v>
      </c>
      <c r="N153" s="16" t="n"/>
      <c r="O153" s="6" t="inlineStr">
        <is>
          <t>4+/5 green</t>
        </is>
      </c>
      <c r="P153" s="15" t="inlineStr">
        <is>
          <t>5 of 5 green, time machine green, rank #8, 8.33% of the $8,322.34 free cash split 12 ways</t>
        </is>
      </c>
      <c r="Q153" s="12" t="n">
        <v>5</v>
      </c>
      <c r="R153" s="6" t="inlineStr">
        <is>
          <t>ok</t>
        </is>
      </c>
      <c r="S153" s="18" t="n">
        <v>0.556</v>
      </c>
      <c r="T153" s="12" t="n">
        <v>81</v>
      </c>
      <c r="U153" s="19" t="n">
        <v>0.0143</v>
      </c>
      <c r="V153" s="19" t="n">
        <v>0.2893</v>
      </c>
      <c r="W153" s="12" t="n">
        <v>8</v>
      </c>
      <c r="X153" s="6" t="inlineStr">
        <is>
          <t>ok</t>
        </is>
      </c>
      <c r="Y153" s="19" t="n">
        <v>0</v>
      </c>
      <c r="Z153" s="6" t="inlineStr">
        <is>
          <t>ok</t>
        </is>
      </c>
      <c r="AA153" s="12" t="n">
        <v>100</v>
      </c>
      <c r="AB153" s="15" t="n"/>
      <c r="AC153" s="6" t="inlineStr">
        <is>
          <t>ok</t>
        </is>
      </c>
      <c r="AD153" s="6" t="inlineStr">
        <is>
          <t>up</t>
        </is>
      </c>
      <c r="AE153" s="17" t="n">
        <v>213.3553</v>
      </c>
      <c r="AF153" s="17" t="n">
        <v>202.3295</v>
      </c>
      <c r="AG153" s="17" t="n">
        <v>224.3812</v>
      </c>
      <c r="AH153" s="20" t="n">
        <v>46332</v>
      </c>
      <c r="AI153" s="18" t="n">
        <v>0.55</v>
      </c>
      <c r="AJ153" s="6" t="inlineStr">
        <is>
          <t>ok</t>
        </is>
      </c>
      <c r="AK153" s="12" t="n">
        <v>2</v>
      </c>
      <c r="AL153" s="15" t="inlineStr">
        <is>
          <t>Piper Sandler Raises SharkNinja Price Target to $234</t>
        </is>
      </c>
      <c r="AM153" s="17" t="n">
        <v>208.945</v>
      </c>
      <c r="AN153" s="19" t="n">
        <v>-0.0021</v>
      </c>
      <c r="AO153" s="17" t="n">
        <v>99570.17</v>
      </c>
      <c r="AP153" s="17" t="n">
        <v>8322.34</v>
      </c>
      <c r="AQ153" s="19" t="n">
        <v>0.0833</v>
      </c>
      <c r="AR153" s="16" t="n"/>
      <c r="AS153" s="17" t="n"/>
      <c r="AT153" s="19" t="n"/>
      <c r="AU153" s="6" t="inlineStr">
        <is>
          <t>paper</t>
        </is>
      </c>
      <c r="AV153" s="6" t="inlineStr">
        <is>
          <t>7d290955-f67e-4ab2-bbed-7e18b5f58b35</t>
        </is>
      </c>
      <c r="AW153" s="6" t="inlineStr">
        <is>
          <t>tdagent-buy-SN-1793367427758</t>
        </is>
      </c>
      <c r="AX153" s="13" t="n">
        <v>46325.56744212963</v>
      </c>
      <c r="AY153" s="13" t="n">
        <v>46325.56748842593</v>
      </c>
      <c r="AZ153" s="13" t="n">
        <v>46325.56684027778</v>
      </c>
      <c r="BA153" s="6" t="n"/>
    </row>
    <row r="154">
      <c r="A154" s="12" t="n">
        <v>153</v>
      </c>
      <c r="B154" s="13" t="n">
        <v>46325.60914351852</v>
      </c>
      <c r="C154" s="13" t="n">
        <v>46325.40081018519</v>
      </c>
      <c r="D154" s="13" t="n">
        <v>46325.56747685185</v>
      </c>
      <c r="E154" s="14" t="inlineStr">
        <is>
          <t>BUY</t>
        </is>
      </c>
      <c r="F154" s="6" t="inlineStr">
        <is>
          <t>ICE</t>
        </is>
      </c>
      <c r="G154" s="15" t="inlineStr">
        <is>
          <t>Intercontinental Exchange  Inc.</t>
        </is>
      </c>
      <c r="H154" s="6" t="inlineStr">
        <is>
          <t>NYSE</t>
        </is>
      </c>
      <c r="I154" s="6" t="inlineStr">
        <is>
          <t>filled</t>
        </is>
      </c>
      <c r="J154" s="16" t="n">
        <v>4.145924286</v>
      </c>
      <c r="K154" s="17" t="n">
        <v>167.21</v>
      </c>
      <c r="L154" s="17">
        <f>IF(AND(ISNUMBER(J154),ISNUMBER(K154)),J154*K154,"")</f>
        <v/>
      </c>
      <c r="M154" s="17" t="n">
        <v>693.25</v>
      </c>
      <c r="N154" s="16" t="n"/>
      <c r="O154" s="6" t="inlineStr">
        <is>
          <t>4+/5 green</t>
        </is>
      </c>
      <c r="P154" s="15" t="inlineStr">
        <is>
          <t>4 of 5 green, time machine green, rank #9, 8.33% of the $8,322.34 free cash split 12 ways</t>
        </is>
      </c>
      <c r="Q154" s="12" t="n">
        <v>4</v>
      </c>
      <c r="R154" s="6" t="inlineStr">
        <is>
          <t>ok</t>
        </is>
      </c>
      <c r="S154" s="18" t="n">
        <v>0.667</v>
      </c>
      <c r="T154" s="12" t="n">
        <v>48</v>
      </c>
      <c r="U154" s="19" t="n">
        <v>0.0083</v>
      </c>
      <c r="V154" s="19" t="n">
        <v>0.2893</v>
      </c>
      <c r="W154" s="12" t="n">
        <v>9</v>
      </c>
      <c r="X154" s="6" t="inlineStr">
        <is>
          <t>ok</t>
        </is>
      </c>
      <c r="Y154" s="19" t="n">
        <v>0.0025</v>
      </c>
      <c r="Z154" s="6" t="inlineStr">
        <is>
          <t>ok</t>
        </is>
      </c>
      <c r="AA154" s="12" t="n">
        <v>100</v>
      </c>
      <c r="AB154" s="15" t="n"/>
      <c r="AC154" s="6" t="inlineStr">
        <is>
          <t>ok</t>
        </is>
      </c>
      <c r="AD154" s="6" t="inlineStr">
        <is>
          <t>up</t>
        </is>
      </c>
      <c r="AE154" s="17" t="n">
        <v>169.0806</v>
      </c>
      <c r="AF154" s="17" t="n">
        <v>163.504</v>
      </c>
      <c r="AG154" s="17" t="n">
        <v>174.6573</v>
      </c>
      <c r="AH154" s="20" t="n">
        <v>46332</v>
      </c>
      <c r="AI154" s="18" t="n">
        <v>0.53</v>
      </c>
      <c r="AJ154" s="6" t="inlineStr">
        <is>
          <t>watch</t>
        </is>
      </c>
      <c r="AK154" s="12" t="n">
        <v>10</v>
      </c>
      <c r="AL154" s="15" t="inlineStr">
        <is>
          <t>Intercontinental Exchange Updates Timeline for MarketAxess Acquisition</t>
        </is>
      </c>
      <c r="AM154" s="17" t="n">
        <v>166.85</v>
      </c>
      <c r="AN154" s="19" t="n">
        <v>0.0238</v>
      </c>
      <c r="AO154" s="17" t="n">
        <v>99570.17</v>
      </c>
      <c r="AP154" s="17" t="n">
        <v>8322.34</v>
      </c>
      <c r="AQ154" s="19" t="n">
        <v>0.0833</v>
      </c>
      <c r="AR154" s="16" t="n"/>
      <c r="AS154" s="17" t="n"/>
      <c r="AT154" s="19" t="n"/>
      <c r="AU154" s="6" t="inlineStr">
        <is>
          <t>paper</t>
        </is>
      </c>
      <c r="AV154" s="6" t="inlineStr">
        <is>
          <t>3900e1dd-02f8-49fa-abc8-e385dff5a3a5</t>
        </is>
      </c>
      <c r="AW154" s="6" t="inlineStr">
        <is>
          <t>tdagent-buy-ICE-1793367428109</t>
        </is>
      </c>
      <c r="AX154" s="13" t="n">
        <v>46325.5674537037</v>
      </c>
      <c r="AY154" s="13" t="n">
        <v>46325.56747685185</v>
      </c>
      <c r="AZ154" s="13" t="n">
        <v>46325.56684027778</v>
      </c>
      <c r="BA154" s="6" t="n"/>
    </row>
    <row r="155">
      <c r="A155" s="12" t="n">
        <v>154</v>
      </c>
      <c r="B155" s="13" t="n">
        <v>46325.60915509259</v>
      </c>
      <c r="C155" s="13" t="n">
        <v>46325.40082175926</v>
      </c>
      <c r="D155" s="13" t="n">
        <v>46325.56748842593</v>
      </c>
      <c r="E155" s="14" t="inlineStr">
        <is>
          <t>BUY</t>
        </is>
      </c>
      <c r="F155" s="6" t="inlineStr">
        <is>
          <t>ADP</t>
        </is>
      </c>
      <c r="G155" s="15" t="inlineStr">
        <is>
          <t>Automatic Data Processing, Inc. Common Stock</t>
        </is>
      </c>
      <c r="H155" s="6" t="inlineStr">
        <is>
          <t>NASDAQ</t>
        </is>
      </c>
      <c r="I155" s="6" t="inlineStr">
        <is>
          <t>filled</t>
        </is>
      </c>
      <c r="J155" s="16" t="n">
        <v>2.362539617</v>
      </c>
      <c r="K155" s="17" t="n">
        <v>293.43</v>
      </c>
      <c r="L155" s="17">
        <f>IF(AND(ISNUMBER(J155),ISNUMBER(K155)),J155*K155,"")</f>
        <v/>
      </c>
      <c r="M155" s="17" t="n">
        <v>693.25</v>
      </c>
      <c r="N155" s="16" t="n"/>
      <c r="O155" s="6" t="inlineStr">
        <is>
          <t>4+/5 green</t>
        </is>
      </c>
      <c r="P155" s="15" t="inlineStr">
        <is>
          <t>4 of 5 green, time machine green, rank #10, 8.33% of the $8,322.34 free cash split 12 ways</t>
        </is>
      </c>
      <c r="Q155" s="12" t="n">
        <v>4</v>
      </c>
      <c r="R155" s="6" t="inlineStr">
        <is>
          <t>ok</t>
        </is>
      </c>
      <c r="S155" s="18" t="n">
        <v>0.648</v>
      </c>
      <c r="T155" s="12" t="n">
        <v>54</v>
      </c>
      <c r="U155" s="19" t="n">
        <v>0.0132</v>
      </c>
      <c r="V155" s="19" t="n">
        <v>0.2893</v>
      </c>
      <c r="W155" s="12" t="n">
        <v>10</v>
      </c>
      <c r="X155" s="6" t="inlineStr">
        <is>
          <t>ok</t>
        </is>
      </c>
      <c r="Y155" s="19" t="n">
        <v>0.0005999999999999999</v>
      </c>
      <c r="Z155" s="6" t="inlineStr">
        <is>
          <t>ok</t>
        </is>
      </c>
      <c r="AA155" s="12" t="n">
        <v>100</v>
      </c>
      <c r="AB155" s="15" t="n"/>
      <c r="AC155" s="6" t="inlineStr">
        <is>
          <t>ok</t>
        </is>
      </c>
      <c r="AD155" s="6" t="inlineStr">
        <is>
          <t>up</t>
        </is>
      </c>
      <c r="AE155" s="17" t="n">
        <v>296.5587</v>
      </c>
      <c r="AF155" s="17" t="n">
        <v>286.3619</v>
      </c>
      <c r="AG155" s="17" t="n">
        <v>306.7556</v>
      </c>
      <c r="AH155" s="20" t="n">
        <v>46332</v>
      </c>
      <c r="AI155" s="18" t="n">
        <v>0.55</v>
      </c>
      <c r="AJ155" s="6" t="inlineStr">
        <is>
          <t>watch</t>
        </is>
      </c>
      <c r="AK155" s="12" t="n">
        <v>9</v>
      </c>
      <c r="AL155" s="15" t="inlineStr">
        <is>
          <t>Automatic Data Processing Q1 2027 Earnings Call Transcript</t>
        </is>
      </c>
      <c r="AM155" s="17" t="n">
        <v>292.61</v>
      </c>
      <c r="AN155" s="19" t="n">
        <v>0.0223</v>
      </c>
      <c r="AO155" s="17" t="n">
        <v>99570.17</v>
      </c>
      <c r="AP155" s="17" t="n">
        <v>8322.34</v>
      </c>
      <c r="AQ155" s="19" t="n">
        <v>0.0833</v>
      </c>
      <c r="AR155" s="16" t="n"/>
      <c r="AS155" s="17" t="n"/>
      <c r="AT155" s="19" t="n"/>
      <c r="AU155" s="6" t="inlineStr">
        <is>
          <t>paper</t>
        </is>
      </c>
      <c r="AV155" s="6" t="inlineStr">
        <is>
          <t>295fd24e-6551-4219-a27c-1173fa9d0833</t>
        </is>
      </c>
      <c r="AW155" s="6" t="inlineStr">
        <is>
          <t>tdagent-buy-ADP-1793367428507</t>
        </is>
      </c>
      <c r="AX155" s="13" t="n">
        <v>46325.5674537037</v>
      </c>
      <c r="AY155" s="13" t="n">
        <v>46325.56748842593</v>
      </c>
      <c r="AZ155" s="13" t="n">
        <v>46325.56684027778</v>
      </c>
      <c r="BA155" s="6" t="n"/>
    </row>
    <row r="156">
      <c r="A156" s="12" t="n">
        <v>155</v>
      </c>
      <c r="B156" s="13" t="n">
        <v>46325.60915509259</v>
      </c>
      <c r="C156" s="13" t="n">
        <v>46325.40082175926</v>
      </c>
      <c r="D156" s="13" t="n">
        <v>46325.56748842593</v>
      </c>
      <c r="E156" s="14" t="inlineStr">
        <is>
          <t>BUY</t>
        </is>
      </c>
      <c r="F156" s="6" t="inlineStr">
        <is>
          <t>MNST</t>
        </is>
      </c>
      <c r="G156" s="15" t="inlineStr">
        <is>
          <t>Monster Beverage Corporation</t>
        </is>
      </c>
      <c r="H156" s="6" t="inlineStr">
        <is>
          <t>NASDAQ</t>
        </is>
      </c>
      <c r="I156" s="6" t="inlineStr">
        <is>
          <t>filled</t>
        </is>
      </c>
      <c r="J156" s="16" t="n">
        <v>14.687288135</v>
      </c>
      <c r="K156" s="17" t="n">
        <v>47.2</v>
      </c>
      <c r="L156" s="17">
        <f>IF(AND(ISNUMBER(J156),ISNUMBER(K156)),J156*K156,"")</f>
        <v/>
      </c>
      <c r="M156" s="17" t="n">
        <v>693.25</v>
      </c>
      <c r="N156" s="16" t="n"/>
      <c r="O156" s="6" t="inlineStr">
        <is>
          <t>4+/5 green</t>
        </is>
      </c>
      <c r="P156" s="15" t="inlineStr">
        <is>
          <t>4 of 5 green, time machine green, rank #11, 8.33% of the $8,322.34 free cash split 12 ways</t>
        </is>
      </c>
      <c r="Q156" s="12" t="n">
        <v>4</v>
      </c>
      <c r="R156" s="6" t="inlineStr">
        <is>
          <t>ok</t>
        </is>
      </c>
      <c r="S156" s="18" t="n">
        <v>0.652</v>
      </c>
      <c r="T156" s="12" t="n">
        <v>89</v>
      </c>
      <c r="U156" s="19" t="n">
        <v>0.0089</v>
      </c>
      <c r="V156" s="19" t="n">
        <v>0.2893</v>
      </c>
      <c r="W156" s="12" t="n">
        <v>11</v>
      </c>
      <c r="X156" s="6" t="inlineStr">
        <is>
          <t>ok</t>
        </is>
      </c>
      <c r="Y156" s="19" t="n">
        <v>0.0002</v>
      </c>
      <c r="Z156" s="6" t="inlineStr">
        <is>
          <t>ok</t>
        </is>
      </c>
      <c r="AA156" s="12" t="n">
        <v>100</v>
      </c>
      <c r="AB156" s="15" t="n"/>
      <c r="AC156" s="6" t="inlineStr">
        <is>
          <t>ok</t>
        </is>
      </c>
      <c r="AD156" s="6" t="inlineStr">
        <is>
          <t>up</t>
        </is>
      </c>
      <c r="AE156" s="17" t="n">
        <v>47.9107</v>
      </c>
      <c r="AF156" s="17" t="n">
        <v>46.234</v>
      </c>
      <c r="AG156" s="17" t="n">
        <v>49.5873</v>
      </c>
      <c r="AH156" s="20" t="n">
        <v>46332</v>
      </c>
      <c r="AI156" s="18" t="n">
        <v>0.53</v>
      </c>
      <c r="AJ156" s="6" t="inlineStr">
        <is>
          <t>watch</t>
        </is>
      </c>
      <c r="AK156" s="12" t="n">
        <v>1</v>
      </c>
      <c r="AL156" s="15" t="inlineStr">
        <is>
          <t>Monster Beverage Corporation Announces Third Quarter 2026 Earnings Release Date</t>
        </is>
      </c>
      <c r="AM156" s="17" t="n">
        <v>47.24</v>
      </c>
      <c r="AN156" s="19" t="n">
        <v>0.0189</v>
      </c>
      <c r="AO156" s="17" t="n">
        <v>99570.17</v>
      </c>
      <c r="AP156" s="17" t="n">
        <v>8322.34</v>
      </c>
      <c r="AQ156" s="19" t="n">
        <v>0.0833</v>
      </c>
      <c r="AR156" s="16" t="n"/>
      <c r="AS156" s="17" t="n"/>
      <c r="AT156" s="19" t="n"/>
      <c r="AU156" s="6" t="inlineStr">
        <is>
          <t>paper</t>
        </is>
      </c>
      <c r="AV156" s="6" t="inlineStr">
        <is>
          <t>e6c7e054-2150-45fb-b223-75931e03dd36</t>
        </is>
      </c>
      <c r="AW156" s="6" t="inlineStr">
        <is>
          <t>tdagent-buy-MNST-1793367428855</t>
        </is>
      </c>
      <c r="AX156" s="13" t="n">
        <v>46325.5674537037</v>
      </c>
      <c r="AY156" s="13" t="n">
        <v>46325.56748842593</v>
      </c>
      <c r="AZ156" s="13" t="n">
        <v>46325.56684027778</v>
      </c>
      <c r="BA156" s="6" t="n"/>
    </row>
    <row r="157">
      <c r="A157" s="12" t="n">
        <v>156</v>
      </c>
      <c r="B157" s="13" t="n">
        <v>46325.60916666667</v>
      </c>
      <c r="C157" s="13" t="n">
        <v>46325.40083333333</v>
      </c>
      <c r="D157" s="13" t="n">
        <v>46325.5675</v>
      </c>
      <c r="E157" s="14" t="inlineStr">
        <is>
          <t>BUY</t>
        </is>
      </c>
      <c r="F157" s="6" t="inlineStr">
        <is>
          <t>CBOE</t>
        </is>
      </c>
      <c r="G157" s="15" t="inlineStr">
        <is>
          <t>Cboe Global Markets, Inc.</t>
        </is>
      </c>
      <c r="H157" s="6" t="inlineStr">
        <is>
          <t>BATS</t>
        </is>
      </c>
      <c r="I157" s="6" t="inlineStr">
        <is>
          <t>filled</t>
        </is>
      </c>
      <c r="J157" s="16" t="n">
        <v>2.096661021</v>
      </c>
      <c r="K157" s="17" t="n">
        <v>330.64</v>
      </c>
      <c r="L157" s="17">
        <f>IF(AND(ISNUMBER(J157),ISNUMBER(K157)),J157*K157,"")</f>
        <v/>
      </c>
      <c r="M157" s="17" t="n">
        <v>693.25</v>
      </c>
      <c r="N157" s="16" t="n"/>
      <c r="O157" s="6" t="inlineStr">
        <is>
          <t>4+/5 green</t>
        </is>
      </c>
      <c r="P157" s="15" t="inlineStr">
        <is>
          <t>4 of 5 green, time machine green, rank #12, 8.33% of the $8,322.34 free cash split 12 ways</t>
        </is>
      </c>
      <c r="Q157" s="12" t="n">
        <v>4</v>
      </c>
      <c r="R157" s="6" t="inlineStr">
        <is>
          <t>ok</t>
        </is>
      </c>
      <c r="S157" s="18" t="n">
        <v>0.588</v>
      </c>
      <c r="T157" s="12" t="n">
        <v>68</v>
      </c>
      <c r="U157" s="19" t="n">
        <v>0.0026</v>
      </c>
      <c r="V157" s="19" t="n">
        <v>0.2893</v>
      </c>
      <c r="W157" s="12" t="n">
        <v>12</v>
      </c>
      <c r="X157" s="6" t="inlineStr">
        <is>
          <t>ok</t>
        </is>
      </c>
      <c r="Y157" s="19" t="n">
        <v>0</v>
      </c>
      <c r="Z157" s="6" t="inlineStr">
        <is>
          <t>ok</t>
        </is>
      </c>
      <c r="AA157" s="12" t="n">
        <v>100</v>
      </c>
      <c r="AB157" s="15" t="n"/>
      <c r="AC157" s="6" t="inlineStr">
        <is>
          <t>ok</t>
        </is>
      </c>
      <c r="AD157" s="6" t="inlineStr">
        <is>
          <t>up</t>
        </is>
      </c>
      <c r="AE157" s="17" t="n">
        <v>334.9048</v>
      </c>
      <c r="AF157" s="17" t="n">
        <v>317.5679</v>
      </c>
      <c r="AG157" s="17" t="n">
        <v>352.2417</v>
      </c>
      <c r="AH157" s="20" t="n">
        <v>46332</v>
      </c>
      <c r="AI157" s="18" t="n">
        <v>0.55</v>
      </c>
      <c r="AJ157" s="6" t="inlineStr">
        <is>
          <t>watch</t>
        </is>
      </c>
      <c r="AK157" s="12" t="n">
        <v>6</v>
      </c>
      <c r="AL157" s="15" t="inlineStr">
        <is>
          <t>Cboe Global Markets Q3 Adj. EPS $3.63 Beats $3.43 Estimate, Sales $712.200M Beat $706.412M Estimate</t>
        </is>
      </c>
      <c r="AM157" s="17" t="n">
        <v>327.97</v>
      </c>
      <c r="AN157" s="19" t="n">
        <v>0.0451</v>
      </c>
      <c r="AO157" s="17" t="n">
        <v>99570.17</v>
      </c>
      <c r="AP157" s="17" t="n">
        <v>8322.34</v>
      </c>
      <c r="AQ157" s="19" t="n">
        <v>0.0833</v>
      </c>
      <c r="AR157" s="16" t="n"/>
      <c r="AS157" s="17" t="n"/>
      <c r="AT157" s="19" t="n"/>
      <c r="AU157" s="6" t="inlineStr">
        <is>
          <t>paper</t>
        </is>
      </c>
      <c r="AV157" s="6" t="inlineStr">
        <is>
          <t>33c92f83-68a7-456c-ad64-2a5682129dda</t>
        </is>
      </c>
      <c r="AW157" s="6" t="inlineStr">
        <is>
          <t>tdagent-buy-CBOE-1793367429323</t>
        </is>
      </c>
      <c r="AX157" s="13" t="n">
        <v>46325.56746527777</v>
      </c>
      <c r="AY157" s="13" t="n">
        <v>46325.5675</v>
      </c>
      <c r="AZ157" s="13" t="n">
        <v>46325.56684027778</v>
      </c>
      <c r="BA157" s="6" t="n"/>
    </row>
    <row r="158">
      <c r="A158" s="12" t="n">
        <v>157</v>
      </c>
      <c r="B158" s="13" t="n">
        <v>46325.60917824074</v>
      </c>
      <c r="C158" s="13" t="n">
        <v>46325.40084490741</v>
      </c>
      <c r="D158" s="13" t="n">
        <v>46325.56751157407</v>
      </c>
      <c r="E158" s="14" t="inlineStr">
        <is>
          <t>BUY</t>
        </is>
      </c>
      <c r="F158" s="6" t="inlineStr">
        <is>
          <t>CTSH</t>
        </is>
      </c>
      <c r="G158" s="15" t="inlineStr">
        <is>
          <t>Cognizant Technology Solutions Corporation Class A Common Stock</t>
        </is>
      </c>
      <c r="H158" s="6" t="inlineStr">
        <is>
          <t>NASDAQ</t>
        </is>
      </c>
      <c r="I158" s="6" t="inlineStr">
        <is>
          <t>filled</t>
        </is>
      </c>
      <c r="J158" s="16" t="n">
        <v>10.809917355</v>
      </c>
      <c r="K158" s="17" t="n">
        <v>64.13</v>
      </c>
      <c r="L158" s="17">
        <f>IF(AND(ISNUMBER(J158),ISNUMBER(K158)),J158*K158,"")</f>
        <v/>
      </c>
      <c r="M158" s="17" t="n">
        <v>693.25</v>
      </c>
      <c r="N158" s="16" t="n"/>
      <c r="O158" s="6" t="inlineStr">
        <is>
          <t>4+/5 green</t>
        </is>
      </c>
      <c r="P158" s="15" t="inlineStr">
        <is>
          <t>4 of 5 green, time machine green, rank #13, 8.33% of the $8,322.34 free cash split 12 ways</t>
        </is>
      </c>
      <c r="Q158" s="12" t="n">
        <v>4</v>
      </c>
      <c r="R158" s="6" t="inlineStr">
        <is>
          <t>ok</t>
        </is>
      </c>
      <c r="S158" s="18" t="n">
        <v>0.587</v>
      </c>
      <c r="T158" s="12" t="n">
        <v>46</v>
      </c>
      <c r="U158" s="19" t="n">
        <v>0.0115</v>
      </c>
      <c r="V158" s="19" t="n">
        <v>0.2893</v>
      </c>
      <c r="W158" s="12" t="n">
        <v>13</v>
      </c>
      <c r="X158" s="6" t="inlineStr">
        <is>
          <t>ok</t>
        </is>
      </c>
      <c r="Y158" s="19" t="n">
        <v>0</v>
      </c>
      <c r="Z158" s="6" t="inlineStr">
        <is>
          <t>ok</t>
        </is>
      </c>
      <c r="AA158" s="12" t="n">
        <v>100</v>
      </c>
      <c r="AB158" s="15" t="n"/>
      <c r="AC158" s="6" t="inlineStr">
        <is>
          <t>ok</t>
        </is>
      </c>
      <c r="AD158" s="6" t="inlineStr">
        <is>
          <t>up</t>
        </is>
      </c>
      <c r="AE158" s="17" t="n">
        <v>65.95740000000001</v>
      </c>
      <c r="AF158" s="17" t="n">
        <v>62.0015</v>
      </c>
      <c r="AG158" s="17" t="n">
        <v>69.9132</v>
      </c>
      <c r="AH158" s="20" t="n">
        <v>46332</v>
      </c>
      <c r="AI158" s="18" t="n">
        <v>0.53</v>
      </c>
      <c r="AJ158" s="6" t="inlineStr">
        <is>
          <t>watch</t>
        </is>
      </c>
      <c r="AK158" s="12" t="n">
        <v>9</v>
      </c>
      <c r="AL158" s="15" t="inlineStr">
        <is>
          <t>Cognizant Tech Solns Q3 2026 Earnings Call Transcript</t>
        </is>
      </c>
      <c r="AM158" s="17" t="n">
        <v>64.375</v>
      </c>
      <c r="AN158" s="19" t="n">
        <v>0.0292</v>
      </c>
      <c r="AO158" s="17" t="n">
        <v>99570.17</v>
      </c>
      <c r="AP158" s="17" t="n">
        <v>8322.34</v>
      </c>
      <c r="AQ158" s="19" t="n">
        <v>0.0833</v>
      </c>
      <c r="AR158" s="16" t="n"/>
      <c r="AS158" s="17" t="n"/>
      <c r="AT158" s="19" t="n"/>
      <c r="AU158" s="6" t="inlineStr">
        <is>
          <t>paper</t>
        </is>
      </c>
      <c r="AV158" s="6" t="inlineStr">
        <is>
          <t>bc151369-b0e4-4f81-980e-7311df152c15</t>
        </is>
      </c>
      <c r="AW158" s="6" t="inlineStr">
        <is>
          <t>tdagent-buy-CTSH-1793367429719</t>
        </is>
      </c>
      <c r="AX158" s="13" t="n">
        <v>46325.56746527777</v>
      </c>
      <c r="AY158" s="13" t="n">
        <v>46325.56751157407</v>
      </c>
      <c r="AZ158" s="13" t="n">
        <v>46325.56684027778</v>
      </c>
      <c r="BA158" s="6" t="n"/>
    </row>
    <row r="159">
      <c r="A159" s="12" t="n">
        <v>158</v>
      </c>
      <c r="B159" s="13" t="n">
        <v>46325.60917824074</v>
      </c>
      <c r="C159" s="13" t="n">
        <v>46325.40084490741</v>
      </c>
      <c r="D159" s="13" t="n">
        <v>46325.56751157407</v>
      </c>
      <c r="E159" s="14" t="inlineStr">
        <is>
          <t>BUY</t>
        </is>
      </c>
      <c r="F159" s="6" t="inlineStr">
        <is>
          <t>ZS</t>
        </is>
      </c>
      <c r="G159" s="15" t="inlineStr">
        <is>
          <t>Zscaler, Inc. Common Stock</t>
        </is>
      </c>
      <c r="H159" s="6" t="inlineStr">
        <is>
          <t>NASDAQ</t>
        </is>
      </c>
      <c r="I159" s="6" t="inlineStr">
        <is>
          <t>filled</t>
        </is>
      </c>
      <c r="J159" s="16" t="n">
        <v>2.823788187</v>
      </c>
      <c r="K159" s="17" t="n">
        <v>245.5</v>
      </c>
      <c r="L159" s="17">
        <f>IF(AND(ISNUMBER(J159),ISNUMBER(K159)),J159*K159,"")</f>
        <v/>
      </c>
      <c r="M159" s="17" t="n">
        <v>693.25</v>
      </c>
      <c r="N159" s="16" t="n"/>
      <c r="O159" s="6" t="inlineStr">
        <is>
          <t>4+/5 green</t>
        </is>
      </c>
      <c r="P159" s="15" t="inlineStr">
        <is>
          <t>4 of 5 green, time machine green, rank #14, 8.33% of the $8,322.34 free cash split 12 ways</t>
        </is>
      </c>
      <c r="Q159" s="12" t="n">
        <v>4</v>
      </c>
      <c r="R159" s="6" t="inlineStr">
        <is>
          <t>ok</t>
        </is>
      </c>
      <c r="S159" s="18" t="n">
        <v>0.5580000000000001</v>
      </c>
      <c r="T159" s="12" t="n">
        <v>43</v>
      </c>
      <c r="U159" s="19" t="n">
        <v>0.0164</v>
      </c>
      <c r="V159" s="19" t="n">
        <v>0.2893</v>
      </c>
      <c r="W159" s="12" t="n">
        <v>14</v>
      </c>
      <c r="X159" s="6" t="inlineStr">
        <is>
          <t>ok</t>
        </is>
      </c>
      <c r="Y159" s="19" t="n">
        <v>0.0017</v>
      </c>
      <c r="Z159" s="6" t="inlineStr">
        <is>
          <t>ok</t>
        </is>
      </c>
      <c r="AA159" s="12" t="n">
        <v>100</v>
      </c>
      <c r="AB159" s="15" t="n"/>
      <c r="AC159" s="6" t="inlineStr">
        <is>
          <t>ok</t>
        </is>
      </c>
      <c r="AD159" s="6" t="inlineStr">
        <is>
          <t>up</t>
        </is>
      </c>
      <c r="AE159" s="17" t="n">
        <v>254.0979</v>
      </c>
      <c r="AF159" s="17" t="n">
        <v>231.0406</v>
      </c>
      <c r="AG159" s="17" t="n">
        <v>277.1553</v>
      </c>
      <c r="AH159" s="20" t="n">
        <v>46332</v>
      </c>
      <c r="AI159" s="18" t="n">
        <v>0.55</v>
      </c>
      <c r="AJ159" s="6" t="inlineStr">
        <is>
          <t>watch</t>
        </is>
      </c>
      <c r="AK159" s="12" t="n">
        <v>3</v>
      </c>
      <c r="AL159" s="15" t="inlineStr">
        <is>
          <t>ServiceNow Posts Downbeat Q3 Earnings, Joins Sprouts Farmers Market, Alphabet And Other Big Stocks Moving Lower In Thursday’s Pre-Market Session</t>
        </is>
      </c>
      <c r="AM159" s="17" t="n">
        <v>245.28</v>
      </c>
      <c r="AN159" s="19" t="n">
        <v>-0.0115</v>
      </c>
      <c r="AO159" s="17" t="n">
        <v>99570.17</v>
      </c>
      <c r="AP159" s="17" t="n">
        <v>8322.34</v>
      </c>
      <c r="AQ159" s="19" t="n">
        <v>0.0833</v>
      </c>
      <c r="AR159" s="16" t="n"/>
      <c r="AS159" s="17" t="n"/>
      <c r="AT159" s="19" t="n"/>
      <c r="AU159" s="6" t="inlineStr">
        <is>
          <t>paper</t>
        </is>
      </c>
      <c r="AV159" s="6" t="inlineStr">
        <is>
          <t>221087d9-06fa-499f-a134-d0ef36ce31fd</t>
        </is>
      </c>
      <c r="AW159" s="6" t="inlineStr">
        <is>
          <t>tdagent-buy-ZS-1793367430074</t>
        </is>
      </c>
      <c r="AX159" s="13" t="n">
        <v>46325.56747685185</v>
      </c>
      <c r="AY159" s="13" t="n">
        <v>46325.56751157407</v>
      </c>
      <c r="AZ159" s="13" t="n">
        <v>46325.56684027778</v>
      </c>
      <c r="BA159" s="6" t="n"/>
    </row>
    <row r="160">
      <c r="A160" s="12" t="n">
        <v>159</v>
      </c>
      <c r="B160" s="13" t="n">
        <v>46325.60918981482</v>
      </c>
      <c r="C160" s="13" t="n">
        <v>46325.40085648148</v>
      </c>
      <c r="D160" s="13" t="n">
        <v>46325.56752314815</v>
      </c>
      <c r="E160" s="14" t="inlineStr">
        <is>
          <t>BUY</t>
        </is>
      </c>
      <c r="F160" s="6" t="inlineStr">
        <is>
          <t>KR</t>
        </is>
      </c>
      <c r="G160" s="15" t="inlineStr">
        <is>
          <t>The Kroger Co.</t>
        </is>
      </c>
      <c r="H160" s="6" t="inlineStr">
        <is>
          <t>NYSE</t>
        </is>
      </c>
      <c r="I160" s="6" t="inlineStr">
        <is>
          <t>filled</t>
        </is>
      </c>
      <c r="J160" s="16" t="n">
        <v>10.24745011</v>
      </c>
      <c r="K160" s="17" t="n">
        <v>67.65000000000001</v>
      </c>
      <c r="L160" s="17">
        <f>IF(AND(ISNUMBER(J160),ISNUMBER(K160)),J160*K160,"")</f>
        <v/>
      </c>
      <c r="M160" s="17" t="n">
        <v>693.25</v>
      </c>
      <c r="N160" s="16" t="n"/>
      <c r="O160" s="6" t="inlineStr">
        <is>
          <t>4+/5 green</t>
        </is>
      </c>
      <c r="P160" s="15" t="inlineStr">
        <is>
          <t>5 of 5 green, time machine green, rank #15, 8.33% of the $8,322.34 free cash split 12 ways</t>
        </is>
      </c>
      <c r="Q160" s="12" t="n">
        <v>5</v>
      </c>
      <c r="R160" s="6" t="inlineStr">
        <is>
          <t>ok</t>
        </is>
      </c>
      <c r="S160" s="18" t="n">
        <v>0.615</v>
      </c>
      <c r="T160" s="12" t="n">
        <v>39</v>
      </c>
      <c r="U160" s="19" t="n">
        <v>0.0137</v>
      </c>
      <c r="V160" s="19" t="n">
        <v>0.2893</v>
      </c>
      <c r="W160" s="12" t="n">
        <v>15</v>
      </c>
      <c r="X160" s="6" t="inlineStr">
        <is>
          <t>ok</t>
        </is>
      </c>
      <c r="Y160" s="19" t="n">
        <v>0.0001</v>
      </c>
      <c r="Z160" s="6" t="inlineStr">
        <is>
          <t>ok</t>
        </is>
      </c>
      <c r="AA160" s="12" t="n">
        <v>80</v>
      </c>
      <c r="AB160" s="15" t="inlineStr">
        <is>
          <t>One day (+5.8%) did 92% of the 10-day move. The trend rests on a single jump.</t>
        </is>
      </c>
      <c r="AC160" s="6" t="inlineStr">
        <is>
          <t>ok</t>
        </is>
      </c>
      <c r="AD160" s="6" t="inlineStr">
        <is>
          <t>up</t>
        </is>
      </c>
      <c r="AE160" s="17" t="n">
        <v>68.7871</v>
      </c>
      <c r="AF160" s="17" t="n">
        <v>66.0444</v>
      </c>
      <c r="AG160" s="17" t="n">
        <v>71.52979999999999</v>
      </c>
      <c r="AH160" s="20" t="n">
        <v>46332</v>
      </c>
      <c r="AI160" s="18" t="n">
        <v>0.5600000000000001</v>
      </c>
      <c r="AJ160" s="6" t="inlineStr">
        <is>
          <t>ok</t>
        </is>
      </c>
      <c r="AK160" s="12" t="n">
        <v>1</v>
      </c>
      <c r="AL160" s="15" t="inlineStr">
        <is>
          <t>Evergreen Family Wines Expands Alki Chardonnay Distribution to Kroger Stores</t>
        </is>
      </c>
      <c r="AM160" s="17" t="n">
        <v>67.68000000000001</v>
      </c>
      <c r="AN160" s="19" t="n">
        <v>0.0265</v>
      </c>
      <c r="AO160" s="17" t="n">
        <v>99570.17</v>
      </c>
      <c r="AP160" s="17" t="n">
        <v>8322.34</v>
      </c>
      <c r="AQ160" s="19" t="n">
        <v>0.0833</v>
      </c>
      <c r="AR160" s="16" t="n"/>
      <c r="AS160" s="17" t="n"/>
      <c r="AT160" s="19" t="n"/>
      <c r="AU160" s="6" t="inlineStr">
        <is>
          <t>paper</t>
        </is>
      </c>
      <c r="AV160" s="6" t="inlineStr">
        <is>
          <t>b5262411-61fa-4e52-9fac-cdd5c66efca6</t>
        </is>
      </c>
      <c r="AW160" s="6" t="inlineStr">
        <is>
          <t>tdagent-buy-KR-1793367430438</t>
        </is>
      </c>
      <c r="AX160" s="13" t="n">
        <v>46325.56747685185</v>
      </c>
      <c r="AY160" s="13" t="n">
        <v>46325.56752314815</v>
      </c>
      <c r="AZ160" s="13" t="n">
        <v>46325.56684027778</v>
      </c>
      <c r="BA160" s="6" t="n"/>
    </row>
    <row r="161">
      <c r="A161" s="12" t="n">
        <v>160</v>
      </c>
      <c r="B161" s="13" t="n">
        <v>46325.61028935185</v>
      </c>
      <c r="C161" s="13" t="n">
        <v>46325.40195601852</v>
      </c>
      <c r="D161" s="13" t="n">
        <v>46325.56862268518</v>
      </c>
      <c r="E161" s="21" t="inlineStr">
        <is>
          <t>SELL</t>
        </is>
      </c>
      <c r="F161" s="6" t="inlineStr">
        <is>
          <t>EBAY</t>
        </is>
      </c>
      <c r="G161" s="15" t="n"/>
      <c r="H161" s="6" t="n"/>
      <c r="I161" s="6" t="inlineStr">
        <is>
          <t>filled</t>
        </is>
      </c>
      <c r="J161" s="16" t="n">
        <v>68.49520344</v>
      </c>
      <c r="K161" s="17" t="n">
        <v>120.92</v>
      </c>
      <c r="L161" s="17">
        <f>IF(AND(ISNUMBER(J161),ISNUMBER(K161)),J161*K161,"")</f>
        <v/>
      </c>
      <c r="M161" s="17" t="n"/>
      <c r="N161" s="16" t="n">
        <v>68.49520344</v>
      </c>
      <c r="O161" s="6" t="inlineStr">
        <is>
          <t>stop-loss (Alpaca order)</t>
        </is>
      </c>
      <c r="P161" s="15" t="inlineStr">
        <is>
          <t>Alpaca stop order triggered at 121.14 (the stock's sell line)</t>
        </is>
      </c>
      <c r="Q161" s="12" t="n"/>
      <c r="R161" s="6" t="n"/>
      <c r="S161" s="18" t="n"/>
      <c r="T161" s="12" t="n"/>
      <c r="U161" s="19" t="n"/>
      <c r="V161" s="19" t="n"/>
      <c r="W161" s="12" t="n"/>
      <c r="X161" s="6" t="n"/>
      <c r="Y161" s="19" t="n"/>
      <c r="Z161" s="6" t="n"/>
      <c r="AA161" s="12" t="n"/>
      <c r="AB161" s="15" t="n"/>
      <c r="AC161" s="6" t="n"/>
      <c r="AD161" s="6" t="n"/>
      <c r="AE161" s="17" t="n"/>
      <c r="AF161" s="17" t="n"/>
      <c r="AG161" s="17" t="n"/>
      <c r="AH161" s="20" t="n"/>
      <c r="AI161" s="18" t="n"/>
      <c r="AJ161" s="6" t="n"/>
      <c r="AK161" s="12" t="n"/>
      <c r="AL161" s="15" t="n"/>
      <c r="AM161" s="17" t="n"/>
      <c r="AN161" s="19" t="n"/>
      <c r="AO161" s="17" t="n"/>
      <c r="AP161" s="17" t="n"/>
      <c r="AQ161" s="19" t="n"/>
      <c r="AR161" s="16" t="n"/>
      <c r="AS161" s="17" t="n"/>
      <c r="AT161" s="19" t="n"/>
      <c r="AU161" s="6" t="inlineStr">
        <is>
          <t>paper</t>
        </is>
      </c>
      <c r="AV161" s="6" t="inlineStr">
        <is>
          <t>1a7d613e-91b1-48a1-ad9d-10ee85cfb79e</t>
        </is>
      </c>
      <c r="AW161" s="6" t="inlineStr">
        <is>
          <t>tdagent-stop-EBAY-1793367435131</t>
        </is>
      </c>
      <c r="AX161" s="13" t="n">
        <v>46325.56755787037</v>
      </c>
      <c r="AY161" s="13" t="n">
        <v>46325.56862268518</v>
      </c>
      <c r="AZ161" s="13" t="n"/>
      <c r="BA161" s="6" t="n"/>
    </row>
    <row r="162">
      <c r="A162" s="12" t="n">
        <v>161</v>
      </c>
      <c r="B162" s="13" t="n">
        <v>46325.61344907407</v>
      </c>
      <c r="C162" s="13" t="n">
        <v>46325.40511574074</v>
      </c>
      <c r="D162" s="13" t="n">
        <v>46325.57178240741</v>
      </c>
      <c r="E162" s="14" t="inlineStr">
        <is>
          <t>BUY</t>
        </is>
      </c>
      <c r="F162" s="6" t="inlineStr">
        <is>
          <t>NTRA</t>
        </is>
      </c>
      <c r="G162" s="15" t="inlineStr">
        <is>
          <t>Natera, Inc. Common Stock</t>
        </is>
      </c>
      <c r="H162" s="6" t="inlineStr">
        <is>
          <t>NASDAQ</t>
        </is>
      </c>
      <c r="I162" s="6" t="inlineStr">
        <is>
          <t>filled</t>
        </is>
      </c>
      <c r="J162" s="16" t="n">
        <v>3.215063542</v>
      </c>
      <c r="K162" s="17" t="n">
        <v>428.85</v>
      </c>
      <c r="L162" s="17">
        <f>IF(AND(ISNUMBER(J162),ISNUMBER(K162)),J162*K162,"")</f>
        <v/>
      </c>
      <c r="M162" s="17" t="n">
        <v>1378.79</v>
      </c>
      <c r="N162" s="16" t="n"/>
      <c r="O162" s="6" t="inlineStr">
        <is>
          <t>4+/5 green</t>
        </is>
      </c>
      <c r="P162" s="15" t="inlineStr">
        <is>
          <t>4 of 5 green, time machine green, rank #3, 8.33% of the $16,552.14 free cash split 12 ways</t>
        </is>
      </c>
      <c r="Q162" s="12" t="n">
        <v>4</v>
      </c>
      <c r="R162" s="6" t="inlineStr">
        <is>
          <t>ok</t>
        </is>
      </c>
      <c r="S162" s="18" t="n">
        <v>0.701</v>
      </c>
      <c r="T162" s="12" t="n">
        <v>67</v>
      </c>
      <c r="U162" s="19" t="n">
        <v>0.0292</v>
      </c>
      <c r="V162" s="19" t="n">
        <v>0.2893</v>
      </c>
      <c r="W162" s="12" t="n">
        <v>3</v>
      </c>
      <c r="X162" s="6" t="inlineStr">
        <is>
          <t>ok</t>
        </is>
      </c>
      <c r="Y162" s="19" t="n">
        <v>0.0005</v>
      </c>
      <c r="Z162" s="6" t="inlineStr">
        <is>
          <t>ok</t>
        </is>
      </c>
      <c r="AA162" s="12" t="n">
        <v>100</v>
      </c>
      <c r="AB162" s="15" t="n"/>
      <c r="AC162" s="6" t="inlineStr">
        <is>
          <t>ok</t>
        </is>
      </c>
      <c r="AD162" s="6" t="inlineStr">
        <is>
          <t>up</t>
        </is>
      </c>
      <c r="AE162" s="17" t="n">
        <v>439.9452</v>
      </c>
      <c r="AF162" s="17" t="n">
        <v>406.9572</v>
      </c>
      <c r="AG162" s="17" t="n">
        <v>472.9331</v>
      </c>
      <c r="AH162" s="20" t="n">
        <v>46332</v>
      </c>
      <c r="AI162" s="18" t="n">
        <v>0.53</v>
      </c>
      <c r="AJ162" s="6" t="inlineStr">
        <is>
          <t>watch</t>
        </is>
      </c>
      <c r="AK162" s="12" t="n">
        <v>4</v>
      </c>
      <c r="AL162" s="15" t="inlineStr">
        <is>
          <t>Natera CEO Steven Leonard Chapman Sells Shares Worth $2.38 Million</t>
        </is>
      </c>
      <c r="AM162" s="17" t="n">
        <v>426.75</v>
      </c>
      <c r="AN162" s="19" t="n">
        <v>-0.0212</v>
      </c>
      <c r="AO162" s="17" t="n">
        <v>99363.8</v>
      </c>
      <c r="AP162" s="17" t="n">
        <v>16552.14</v>
      </c>
      <c r="AQ162" s="19" t="n">
        <v>0.0833</v>
      </c>
      <c r="AR162" s="16" t="n"/>
      <c r="AS162" s="17" t="n"/>
      <c r="AT162" s="19" t="n"/>
      <c r="AU162" s="6" t="inlineStr">
        <is>
          <t>paper</t>
        </is>
      </c>
      <c r="AV162" s="6" t="inlineStr">
        <is>
          <t>40902560-306e-49ae-90c4-eb2047e0fa0f</t>
        </is>
      </c>
      <c r="AW162" s="6" t="inlineStr">
        <is>
          <t>tdagent-buy-NTRA-1793367801313</t>
        </is>
      </c>
      <c r="AX162" s="13" t="n">
        <v>46325.57177083333</v>
      </c>
      <c r="AY162" s="13" t="n">
        <v>46325.57178240741</v>
      </c>
      <c r="AZ162" s="13" t="n">
        <v>46325.57155092592</v>
      </c>
      <c r="BA162" s="6" t="n"/>
    </row>
    <row r="163">
      <c r="A163" s="12" t="n">
        <v>162</v>
      </c>
      <c r="B163" s="13" t="n">
        <v>46325.61347222222</v>
      </c>
      <c r="C163" s="13" t="n">
        <v>46325.40513888889</v>
      </c>
      <c r="D163" s="13" t="n">
        <v>46325.57180555556</v>
      </c>
      <c r="E163" s="14" t="inlineStr">
        <is>
          <t>BUY</t>
        </is>
      </c>
      <c r="F163" s="6" t="inlineStr">
        <is>
          <t>SO</t>
        </is>
      </c>
      <c r="G163" s="15" t="inlineStr">
        <is>
          <t>The Southern Company</t>
        </is>
      </c>
      <c r="H163" s="6" t="inlineStr">
        <is>
          <t>NYSE</t>
        </is>
      </c>
      <c r="I163" s="6" t="inlineStr">
        <is>
          <t>filled</t>
        </is>
      </c>
      <c r="J163" s="16" t="n">
        <v>14.649320305</v>
      </c>
      <c r="K163" s="17" t="n">
        <v>94.119043</v>
      </c>
      <c r="L163" s="17">
        <f>IF(AND(ISNUMBER(J163),ISNUMBER(K163)),J163*K163,"")</f>
        <v/>
      </c>
      <c r="M163" s="17" t="n">
        <v>1378.79</v>
      </c>
      <c r="N163" s="16" t="n"/>
      <c r="O163" s="6" t="inlineStr">
        <is>
          <t>4+/5 green</t>
        </is>
      </c>
      <c r="P163" s="15" t="inlineStr">
        <is>
          <t>5 of 5 green, time machine green, rank #4, 8.33% of the $16,552.14 free cash split 12 ways</t>
        </is>
      </c>
      <c r="Q163" s="12" t="n">
        <v>5</v>
      </c>
      <c r="R163" s="6" t="inlineStr">
        <is>
          <t>ok</t>
        </is>
      </c>
      <c r="S163" s="18" t="n">
        <v>0.55</v>
      </c>
      <c r="T163" s="12" t="n">
        <v>20</v>
      </c>
      <c r="U163" s="19" t="n">
        <v>0.0009</v>
      </c>
      <c r="V163" s="19" t="n">
        <v>0.2893</v>
      </c>
      <c r="W163" s="12" t="n">
        <v>4</v>
      </c>
      <c r="X163" s="6" t="inlineStr">
        <is>
          <t>ok</t>
        </is>
      </c>
      <c r="Y163" s="19" t="n">
        <v>0</v>
      </c>
      <c r="Z163" s="6" t="inlineStr">
        <is>
          <t>ok</t>
        </is>
      </c>
      <c r="AA163" s="12" t="n">
        <v>100</v>
      </c>
      <c r="AB163" s="15" t="n"/>
      <c r="AC163" s="6" t="inlineStr">
        <is>
          <t>ok</t>
        </is>
      </c>
      <c r="AD163" s="6" t="inlineStr">
        <is>
          <t>up</t>
        </is>
      </c>
      <c r="AE163" s="17" t="n">
        <v>94.9336</v>
      </c>
      <c r="AF163" s="17" t="n">
        <v>92.64960000000001</v>
      </c>
      <c r="AG163" s="17" t="n">
        <v>97.2176</v>
      </c>
      <c r="AH163" s="20" t="n">
        <v>46332</v>
      </c>
      <c r="AI163" s="18" t="n">
        <v>0.5600000000000001</v>
      </c>
      <c r="AJ163" s="6" t="inlineStr">
        <is>
          <t>ok</t>
        </is>
      </c>
      <c r="AK163" s="12" t="n">
        <v>0</v>
      </c>
      <c r="AL163" s="15" t="n"/>
      <c r="AM163" s="17" t="n">
        <v>94.02</v>
      </c>
      <c r="AN163" s="19" t="n">
        <v>0.011</v>
      </c>
      <c r="AO163" s="17" t="n">
        <v>99363.8</v>
      </c>
      <c r="AP163" s="17" t="n">
        <v>16552.14</v>
      </c>
      <c r="AQ163" s="19" t="n">
        <v>0.0833</v>
      </c>
      <c r="AR163" s="16" t="n"/>
      <c r="AS163" s="17" t="n"/>
      <c r="AT163" s="19" t="n"/>
      <c r="AU163" s="6" t="inlineStr">
        <is>
          <t>paper</t>
        </is>
      </c>
      <c r="AV163" s="6" t="inlineStr">
        <is>
          <t>5942b9ae-a31c-4788-bf1e-0e0baaf5d8b4</t>
        </is>
      </c>
      <c r="AW163" s="6" t="inlineStr">
        <is>
          <t>tdagent-buy-SO-1793367801409</t>
        </is>
      </c>
      <c r="AX163" s="13" t="n">
        <v>46325.57177083333</v>
      </c>
      <c r="AY163" s="13" t="n">
        <v>46325.57180555556</v>
      </c>
      <c r="AZ163" s="13" t="n">
        <v>46325.57155092592</v>
      </c>
      <c r="BA163" s="6" t="n"/>
    </row>
    <row r="164">
      <c r="A164" s="12" t="n">
        <v>163</v>
      </c>
      <c r="B164" s="13" t="n">
        <v>46325.61346064815</v>
      </c>
      <c r="C164" s="13" t="n">
        <v>46325.40512731481</v>
      </c>
      <c r="D164" s="13" t="n">
        <v>46325.57179398148</v>
      </c>
      <c r="E164" s="14" t="inlineStr">
        <is>
          <t>BUY</t>
        </is>
      </c>
      <c r="F164" s="6" t="inlineStr">
        <is>
          <t>MO</t>
        </is>
      </c>
      <c r="G164" s="15" t="inlineStr">
        <is>
          <t>Altria Group, Inc.</t>
        </is>
      </c>
      <c r="H164" s="6" t="inlineStr">
        <is>
          <t>NYSE</t>
        </is>
      </c>
      <c r="I164" s="6" t="inlineStr">
        <is>
          <t>filled</t>
        </is>
      </c>
      <c r="J164" s="16" t="n">
        <v>17.501650165</v>
      </c>
      <c r="K164" s="17" t="n">
        <v>78.78</v>
      </c>
      <c r="L164" s="17">
        <f>IF(AND(ISNUMBER(J164),ISNUMBER(K164)),J164*K164,"")</f>
        <v/>
      </c>
      <c r="M164" s="17" t="n">
        <v>1378.79</v>
      </c>
      <c r="N164" s="16" t="n"/>
      <c r="O164" s="6" t="inlineStr">
        <is>
          <t>4+/5 green</t>
        </is>
      </c>
      <c r="P164" s="15" t="inlineStr">
        <is>
          <t>4 of 5 green, time machine green, rank #6, 8.33% of the $16,552.14 free cash split 12 ways</t>
        </is>
      </c>
      <c r="Q164" s="12" t="n">
        <v>4</v>
      </c>
      <c r="R164" s="6" t="inlineStr">
        <is>
          <t>ok</t>
        </is>
      </c>
      <c r="S164" s="18" t="n">
        <v>0.644</v>
      </c>
      <c r="T164" s="12" t="n">
        <v>45</v>
      </c>
      <c r="U164" s="19" t="n">
        <v>0.0097</v>
      </c>
      <c r="V164" s="19" t="n">
        <v>0.2893</v>
      </c>
      <c r="W164" s="12" t="n">
        <v>6</v>
      </c>
      <c r="X164" s="6" t="inlineStr">
        <is>
          <t>ok</t>
        </is>
      </c>
      <c r="Y164" s="19" t="n">
        <v>0.0005</v>
      </c>
      <c r="Z164" s="6" t="inlineStr">
        <is>
          <t>ok</t>
        </is>
      </c>
      <c r="AA164" s="12" t="n">
        <v>80</v>
      </c>
      <c r="AB164" s="15" t="inlineStr">
        <is>
          <t>One day (+5.1%) did 106% of the 10-day move. The trend rests on a single jump.</t>
        </is>
      </c>
      <c r="AC164" s="6" t="inlineStr">
        <is>
          <t>ok</t>
        </is>
      </c>
      <c r="AD164" s="6" t="inlineStr">
        <is>
          <t>up</t>
        </is>
      </c>
      <c r="AE164" s="17" t="n">
        <v>79.84520000000001</v>
      </c>
      <c r="AF164" s="17" t="n">
        <v>77.0822</v>
      </c>
      <c r="AG164" s="17" t="n">
        <v>82.6082</v>
      </c>
      <c r="AH164" s="20" t="n">
        <v>46332</v>
      </c>
      <c r="AI164" s="18" t="n">
        <v>0.5600000000000001</v>
      </c>
      <c r="AJ164" s="6" t="inlineStr">
        <is>
          <t>watch</t>
        </is>
      </c>
      <c r="AK164" s="12" t="n">
        <v>10</v>
      </c>
      <c r="AL164" s="15" t="inlineStr">
        <is>
          <t>Altria Reports Q3 2026 Results, Raises Full-Year Earnings Guidance, and Expands Share Repurchase Program</t>
        </is>
      </c>
      <c r="AM164" s="17" t="n">
        <v>78.73999999999999</v>
      </c>
      <c r="AN164" s="19" t="n">
        <v>0.0262</v>
      </c>
      <c r="AO164" s="17" t="n">
        <v>99363.8</v>
      </c>
      <c r="AP164" s="17" t="n">
        <v>16552.14</v>
      </c>
      <c r="AQ164" s="19" t="n">
        <v>0.0833</v>
      </c>
      <c r="AR164" s="16" t="n"/>
      <c r="AS164" s="17" t="n"/>
      <c r="AT164" s="19" t="n"/>
      <c r="AU164" s="6" t="inlineStr">
        <is>
          <t>paper</t>
        </is>
      </c>
      <c r="AV164" s="6" t="inlineStr">
        <is>
          <t>1fe138dd-1cb7-4b50-8cd5-29fe5a7ae381</t>
        </is>
      </c>
      <c r="AW164" s="6" t="inlineStr">
        <is>
          <t>tdagent-buy-MO-1793367801462</t>
        </is>
      </c>
      <c r="AX164" s="13" t="n">
        <v>46325.57177083333</v>
      </c>
      <c r="AY164" s="13" t="n">
        <v>46325.57179398148</v>
      </c>
      <c r="AZ164" s="13" t="n">
        <v>46325.57155092592</v>
      </c>
      <c r="BA164" s="6" t="n"/>
    </row>
    <row r="165">
      <c r="A165" s="12" t="n">
        <v>164</v>
      </c>
      <c r="B165" s="13" t="n">
        <v>46325.61344907407</v>
      </c>
      <c r="C165" s="13" t="n">
        <v>46325.40511574074</v>
      </c>
      <c r="D165" s="13" t="n">
        <v>46325.57178240741</v>
      </c>
      <c r="E165" s="14" t="inlineStr">
        <is>
          <t>BUY</t>
        </is>
      </c>
      <c r="F165" s="6" t="inlineStr">
        <is>
          <t>D</t>
        </is>
      </c>
      <c r="G165" s="15" t="inlineStr">
        <is>
          <t>Dominion Energy, Inc Common Stock</t>
        </is>
      </c>
      <c r="H165" s="6" t="inlineStr">
        <is>
          <t>NYSE</t>
        </is>
      </c>
      <c r="I165" s="6" t="inlineStr">
        <is>
          <t>filled</t>
        </is>
      </c>
      <c r="J165" s="16" t="n">
        <v>20.821202053</v>
      </c>
      <c r="K165" s="17" t="n">
        <v>66.22</v>
      </c>
      <c r="L165" s="17">
        <f>IF(AND(ISNUMBER(J165),ISNUMBER(K165)),J165*K165,"")</f>
        <v/>
      </c>
      <c r="M165" s="17" t="n">
        <v>1378.79</v>
      </c>
      <c r="N165" s="16" t="n"/>
      <c r="O165" s="6" t="inlineStr">
        <is>
          <t>4+/5 green</t>
        </is>
      </c>
      <c r="P165" s="15" t="inlineStr">
        <is>
          <t>4 of 5 green, time machine green, rank #7, 8.33% of the $16,552.14 free cash split 12 ways</t>
        </is>
      </c>
      <c r="Q165" s="12" t="n">
        <v>4</v>
      </c>
      <c r="R165" s="6" t="inlineStr">
        <is>
          <t>ok</t>
        </is>
      </c>
      <c r="S165" s="18" t="n">
        <v>0.652</v>
      </c>
      <c r="T165" s="12" t="n">
        <v>46</v>
      </c>
      <c r="U165" s="19" t="n">
        <v>0.0083</v>
      </c>
      <c r="V165" s="19" t="n">
        <v>0.2893</v>
      </c>
      <c r="W165" s="12" t="n">
        <v>7</v>
      </c>
      <c r="X165" s="6" t="inlineStr">
        <is>
          <t>ok</t>
        </is>
      </c>
      <c r="Y165" s="19" t="n">
        <v>0.0013</v>
      </c>
      <c r="Z165" s="6" t="inlineStr">
        <is>
          <t>ok</t>
        </is>
      </c>
      <c r="AA165" s="12" t="n">
        <v>80</v>
      </c>
      <c r="AB165" s="15" t="inlineStr">
        <is>
          <t>One day (+4.9%) did 128% of the 10-day move. The trend rests on a single jump.</t>
        </is>
      </c>
      <c r="AC165" s="6" t="inlineStr">
        <is>
          <t>ok</t>
        </is>
      </c>
      <c r="AD165" s="6" t="inlineStr">
        <is>
          <t>up</t>
        </is>
      </c>
      <c r="AE165" s="17" t="n">
        <v>66.6319</v>
      </c>
      <c r="AF165" s="17" t="n">
        <v>65.0022</v>
      </c>
      <c r="AG165" s="17" t="n">
        <v>68.2615</v>
      </c>
      <c r="AH165" s="20" t="n">
        <v>46332</v>
      </c>
      <c r="AI165" s="18" t="n">
        <v>0.53</v>
      </c>
      <c r="AJ165" s="6" t="inlineStr">
        <is>
          <t>watch</t>
        </is>
      </c>
      <c r="AK165" s="12" t="n">
        <v>6</v>
      </c>
      <c r="AL165" s="15" t="inlineStr">
        <is>
          <t>Dominion Energy Reports Q3 2026 Earnings and Updates Full-Year Guidance</t>
        </is>
      </c>
      <c r="AM165" s="17" t="n">
        <v>65.98</v>
      </c>
      <c r="AN165" s="19" t="n">
        <v>0.0137</v>
      </c>
      <c r="AO165" s="17" t="n">
        <v>99363.8</v>
      </c>
      <c r="AP165" s="17" t="n">
        <v>16552.14</v>
      </c>
      <c r="AQ165" s="19" t="n">
        <v>0.0833</v>
      </c>
      <c r="AR165" s="16" t="n"/>
      <c r="AS165" s="17" t="n"/>
      <c r="AT165" s="19" t="n"/>
      <c r="AU165" s="6" t="inlineStr">
        <is>
          <t>paper</t>
        </is>
      </c>
      <c r="AV165" s="6" t="inlineStr">
        <is>
          <t>7e2f1442-f2c8-460f-8f69-9e4275ea5ed3</t>
        </is>
      </c>
      <c r="AW165" s="6" t="inlineStr">
        <is>
          <t>tdagent-buy-D-1793367801510</t>
        </is>
      </c>
      <c r="AX165" s="13" t="n">
        <v>46325.57177083333</v>
      </c>
      <c r="AY165" s="13" t="n">
        <v>46325.57178240741</v>
      </c>
      <c r="AZ165" s="13" t="n">
        <v>46325.57155092592</v>
      </c>
      <c r="BA165" s="6" t="n"/>
    </row>
    <row r="166">
      <c r="A166" s="12" t="n">
        <v>165</v>
      </c>
      <c r="B166" s="13" t="n">
        <v>46325.62011574074</v>
      </c>
      <c r="C166" s="13" t="n">
        <v>46325.41178240741</v>
      </c>
      <c r="D166" s="13" t="n">
        <v>46325.57844907408</v>
      </c>
      <c r="E166" s="21" t="inlineStr">
        <is>
          <t>SELL</t>
        </is>
      </c>
      <c r="F166" s="6" t="inlineStr">
        <is>
          <t>CTSH</t>
        </is>
      </c>
      <c r="G166" s="15" t="n"/>
      <c r="H166" s="6" t="n"/>
      <c r="I166" s="6" t="inlineStr">
        <is>
          <t>filled</t>
        </is>
      </c>
      <c r="J166" s="16" t="n">
        <v>10.809917355</v>
      </c>
      <c r="K166" s="17" t="n">
        <v>64.54000000000001</v>
      </c>
      <c r="L166" s="17">
        <f>IF(AND(ISNUMBER(J166),ISNUMBER(K166)),J166*K166,"")</f>
        <v/>
      </c>
      <c r="M166" s="17" t="n"/>
      <c r="N166" s="16" t="n">
        <v>10.809917355</v>
      </c>
      <c r="O166" s="6" t="inlineStr">
        <is>
          <t>stop-loss (Alpaca order)</t>
        </is>
      </c>
      <c r="P166" s="15" t="inlineStr">
        <is>
          <t>Alpaca stop order triggered at 64.6 (the stock's sell line)</t>
        </is>
      </c>
      <c r="Q166" s="12" t="n"/>
      <c r="R166" s="6" t="n"/>
      <c r="S166" s="18" t="n"/>
      <c r="T166" s="12" t="n"/>
      <c r="U166" s="19" t="n"/>
      <c r="V166" s="19" t="n"/>
      <c r="W166" s="12" t="n"/>
      <c r="X166" s="6" t="n"/>
      <c r="Y166" s="19" t="n"/>
      <c r="Z166" s="6" t="n"/>
      <c r="AA166" s="12" t="n"/>
      <c r="AB166" s="15" t="n"/>
      <c r="AC166" s="6" t="n"/>
      <c r="AD166" s="6" t="n"/>
      <c r="AE166" s="17" t="n"/>
      <c r="AF166" s="17" t="n"/>
      <c r="AG166" s="17" t="n"/>
      <c r="AH166" s="20" t="n"/>
      <c r="AI166" s="18" t="n"/>
      <c r="AJ166" s="6" t="n"/>
      <c r="AK166" s="12" t="n"/>
      <c r="AL166" s="15" t="n"/>
      <c r="AM166" s="17" t="n"/>
      <c r="AN166" s="19" t="n"/>
      <c r="AO166" s="17" t="n"/>
      <c r="AP166" s="17" t="n"/>
      <c r="AQ166" s="19" t="n"/>
      <c r="AR166" s="16" t="n"/>
      <c r="AS166" s="17" t="n"/>
      <c r="AT166" s="19" t="n"/>
      <c r="AU166" s="6" t="inlineStr">
        <is>
          <t>paper</t>
        </is>
      </c>
      <c r="AV166" s="6" t="inlineStr">
        <is>
          <t>1ed4d5c6-13bc-4722-92dd-a9fe2f2cf5eb</t>
        </is>
      </c>
      <c r="AW166" s="6" t="inlineStr">
        <is>
          <t>tdagent-stop-CTSH-1793367804635</t>
        </is>
      </c>
      <c r="AX166" s="13" t="n">
        <v>46325.57180555556</v>
      </c>
      <c r="AY166" s="13" t="n">
        <v>46325.57844907408</v>
      </c>
      <c r="AZ166" s="13" t="n"/>
      <c r="BA166" s="6" t="n"/>
    </row>
    <row r="167">
      <c r="A167" s="12" t="n">
        <v>166</v>
      </c>
      <c r="B167" s="13" t="n">
        <v>46325.61847222222</v>
      </c>
      <c r="C167" s="13" t="n">
        <v>46325.41013888889</v>
      </c>
      <c r="D167" s="13" t="n">
        <v>46325.57680555555</v>
      </c>
      <c r="E167" s="21" t="inlineStr">
        <is>
          <t>SELL</t>
        </is>
      </c>
      <c r="F167" s="6" t="inlineStr">
        <is>
          <t>CBOE</t>
        </is>
      </c>
      <c r="G167" s="15" t="n"/>
      <c r="H167" s="6" t="n"/>
      <c r="I167" s="6" t="inlineStr">
        <is>
          <t>filled</t>
        </is>
      </c>
      <c r="J167" s="16" t="n">
        <v>2.096661021</v>
      </c>
      <c r="K167" s="17" t="n">
        <v>331.63</v>
      </c>
      <c r="L167" s="17">
        <f>IF(AND(ISNUMBER(J167),ISNUMBER(K167)),J167*K167,"")</f>
        <v/>
      </c>
      <c r="M167" s="17" t="n"/>
      <c r="N167" s="16" t="n">
        <v>2.096661021</v>
      </c>
      <c r="O167" s="6" t="inlineStr">
        <is>
          <t>stop-loss (Alpaca order)</t>
        </is>
      </c>
      <c r="P167" s="15" t="inlineStr">
        <is>
          <t>Alpaca stop order triggered at 332.16 (the stock's sell line)</t>
        </is>
      </c>
      <c r="Q167" s="12" t="n"/>
      <c r="R167" s="6" t="n"/>
      <c r="S167" s="18" t="n"/>
      <c r="T167" s="12" t="n"/>
      <c r="U167" s="19" t="n"/>
      <c r="V167" s="19" t="n"/>
      <c r="W167" s="12" t="n"/>
      <c r="X167" s="6" t="n"/>
      <c r="Y167" s="19" t="n"/>
      <c r="Z167" s="6" t="n"/>
      <c r="AA167" s="12" t="n"/>
      <c r="AB167" s="15" t="n"/>
      <c r="AC167" s="6" t="n"/>
      <c r="AD167" s="6" t="n"/>
      <c r="AE167" s="17" t="n"/>
      <c r="AF167" s="17" t="n"/>
      <c r="AG167" s="17" t="n"/>
      <c r="AH167" s="20" t="n"/>
      <c r="AI167" s="18" t="n"/>
      <c r="AJ167" s="6" t="n"/>
      <c r="AK167" s="12" t="n"/>
      <c r="AL167" s="15" t="n"/>
      <c r="AM167" s="17" t="n"/>
      <c r="AN167" s="19" t="n"/>
      <c r="AO167" s="17" t="n"/>
      <c r="AP167" s="17" t="n"/>
      <c r="AQ167" s="19" t="n"/>
      <c r="AR167" s="16" t="n"/>
      <c r="AS167" s="17" t="n"/>
      <c r="AT167" s="19" t="n"/>
      <c r="AU167" s="6" t="inlineStr">
        <is>
          <t>paper</t>
        </is>
      </c>
      <c r="AV167" s="6" t="inlineStr">
        <is>
          <t>c460c6de-6c52-49a0-b1fb-549025e69b46</t>
        </is>
      </c>
      <c r="AW167" s="6" t="inlineStr">
        <is>
          <t>tdagent-stop-CBOE-1793368021815</t>
        </is>
      </c>
      <c r="AX167" s="13" t="n">
        <v>46325.5743287037</v>
      </c>
      <c r="AY167" s="13" t="n">
        <v>46325.57680555555</v>
      </c>
      <c r="AZ167" s="13" t="n"/>
      <c r="BA167" s="6" t="n"/>
    </row>
    <row r="168">
      <c r="A168" s="12" t="n">
        <v>167</v>
      </c>
      <c r="B168" s="13" t="n">
        <v>46325.61717592592</v>
      </c>
      <c r="C168" s="13" t="n">
        <v>46325.40884259259</v>
      </c>
      <c r="D168" s="13" t="n">
        <v>46325.57550925926</v>
      </c>
      <c r="E168" s="21" t="inlineStr">
        <is>
          <t>SELL</t>
        </is>
      </c>
      <c r="F168" s="6" t="inlineStr">
        <is>
          <t>NTRA</t>
        </is>
      </c>
      <c r="G168" s="15" t="inlineStr">
        <is>
          <t>NTRA</t>
        </is>
      </c>
      <c r="H168" s="6" t="inlineStr">
        <is>
          <t>NASDAQ</t>
        </is>
      </c>
      <c r="I168" s="6" t="inlineStr">
        <is>
          <t>filled</t>
        </is>
      </c>
      <c r="J168" s="16" t="n">
        <v>3.215063542</v>
      </c>
      <c r="K168" s="17" t="n">
        <v>421.1</v>
      </c>
      <c r="L168" s="17">
        <f>IF(AND(ISNUMBER(J168),ISNUMBER(K168)),J168*K168,"")</f>
        <v/>
      </c>
      <c r="M168" s="17" t="n"/>
      <c r="N168" s="16" t="n">
        <v>3.215063542</v>
      </c>
      <c r="O168" s="6" t="inlineStr">
        <is>
          <t>bad day</t>
        </is>
      </c>
      <c r="P168" s="15" t="inlineStr">
        <is>
          <t>Bad day: down 3.1% today and only 4 of 5 green</t>
        </is>
      </c>
      <c r="Q168" s="12" t="n">
        <v>4</v>
      </c>
      <c r="R168" s="6" t="inlineStr">
        <is>
          <t>ok</t>
        </is>
      </c>
      <c r="S168" s="18" t="n">
        <v>0.701</v>
      </c>
      <c r="T168" s="12" t="n">
        <v>67</v>
      </c>
      <c r="U168" s="19" t="n">
        <v>0.0292</v>
      </c>
      <c r="V168" s="19" t="n">
        <v>0.2893</v>
      </c>
      <c r="W168" s="12" t="n"/>
      <c r="X168" s="6" t="inlineStr">
        <is>
          <t>ok</t>
        </is>
      </c>
      <c r="Y168" s="19" t="n">
        <v>0.0007000000000000001</v>
      </c>
      <c r="Z168" s="6" t="inlineStr">
        <is>
          <t>ok</t>
        </is>
      </c>
      <c r="AA168" s="12" t="n">
        <v>100</v>
      </c>
      <c r="AB168" s="15" t="n"/>
      <c r="AC168" s="6" t="inlineStr">
        <is>
          <t>ok</t>
        </is>
      </c>
      <c r="AD168" s="6" t="inlineStr">
        <is>
          <t>up</t>
        </is>
      </c>
      <c r="AE168" s="17" t="n">
        <v>435.9801</v>
      </c>
      <c r="AF168" s="17" t="n">
        <v>403.1548</v>
      </c>
      <c r="AG168" s="17" t="n">
        <v>468.8054</v>
      </c>
      <c r="AH168" s="20" t="n">
        <v>46332</v>
      </c>
      <c r="AI168" s="18" t="n">
        <v>0.53</v>
      </c>
      <c r="AJ168" s="6" t="inlineStr">
        <is>
          <t>alert</t>
        </is>
      </c>
      <c r="AK168" s="12" t="n">
        <v>4</v>
      </c>
      <c r="AL168" s="15" t="inlineStr">
        <is>
          <t>Natera CEO Steven Leonard Chapman Sells Shares Worth $2.38 Million</t>
        </is>
      </c>
      <c r="AM168" s="17" t="n">
        <v>422.85</v>
      </c>
      <c r="AN168" s="19" t="n">
        <v>-0.0302</v>
      </c>
      <c r="AO168" s="17" t="n">
        <v>99252.42</v>
      </c>
      <c r="AP168" s="17" t="n">
        <v>11037.02</v>
      </c>
      <c r="AQ168" s="19" t="n">
        <v>0.0833</v>
      </c>
      <c r="AR168" s="16" t="n">
        <v>3.215063542</v>
      </c>
      <c r="AS168" s="17" t="n">
        <v>428.85</v>
      </c>
      <c r="AT168" s="19" t="n">
        <v>-0.0147</v>
      </c>
      <c r="AU168" s="6" t="inlineStr">
        <is>
          <t>paper</t>
        </is>
      </c>
      <c r="AV168" s="6" t="inlineStr">
        <is>
          <t>ac6a8cbc-e6a8-42b8-91e3-d185ec717ce6</t>
        </is>
      </c>
      <c r="AW168" s="6" t="inlineStr">
        <is>
          <t>tdagent-sell-NTRA-1793368122275</t>
        </is>
      </c>
      <c r="AX168" s="13" t="n">
        <v>46325.57548611111</v>
      </c>
      <c r="AY168" s="13" t="n">
        <v>46325.57550925926</v>
      </c>
      <c r="AZ168" s="13" t="n">
        <v>46325.57515046297</v>
      </c>
      <c r="BA168" s="6" t="n"/>
    </row>
    <row r="169">
      <c r="A169" s="12" t="n">
        <v>168</v>
      </c>
      <c r="B169" s="13" t="n">
        <v>46325.61721064815</v>
      </c>
      <c r="C169" s="13" t="n">
        <v>46325.40887731482</v>
      </c>
      <c r="D169" s="13" t="n">
        <v>46325.57554398148</v>
      </c>
      <c r="E169" s="14" t="inlineStr">
        <is>
          <t>BUY</t>
        </is>
      </c>
      <c r="F169" s="6" t="inlineStr">
        <is>
          <t>NTSK</t>
        </is>
      </c>
      <c r="G169" s="15" t="inlineStr">
        <is>
          <t>Netskope, Inc. Class A Common Stock</t>
        </is>
      </c>
      <c r="H169" s="6" t="inlineStr">
        <is>
          <t>NASDAQ</t>
        </is>
      </c>
      <c r="I169" s="6" t="inlineStr">
        <is>
          <t>filled</t>
        </is>
      </c>
      <c r="J169" s="16" t="n">
        <v>36.050548589</v>
      </c>
      <c r="K169" s="17" t="n">
        <v>25.502247</v>
      </c>
      <c r="L169" s="17">
        <f>IF(AND(ISNUMBER(J169),ISNUMBER(K169)),J169*K169,"")</f>
        <v/>
      </c>
      <c r="M169" s="17" t="n">
        <v>919.38</v>
      </c>
      <c r="N169" s="16" t="n"/>
      <c r="O169" s="6" t="inlineStr">
        <is>
          <t>4+/5 green</t>
        </is>
      </c>
      <c r="P169" s="15" t="inlineStr">
        <is>
          <t>5 of 5 green, time machine green, rank #1, 8.33% of the $11,037.02 free cash split 12 ways</t>
        </is>
      </c>
      <c r="Q169" s="12" t="n">
        <v>5</v>
      </c>
      <c r="R169" s="6" t="inlineStr">
        <is>
          <t>ok</t>
        </is>
      </c>
      <c r="S169" s="18" t="n">
        <v>0.643</v>
      </c>
      <c r="T169" s="12" t="n">
        <v>42</v>
      </c>
      <c r="U169" s="19" t="n">
        <v>0.0316</v>
      </c>
      <c r="V169" s="19" t="n">
        <v>0.2893</v>
      </c>
      <c r="W169" s="12" t="n">
        <v>1</v>
      </c>
      <c r="X169" s="6" t="inlineStr">
        <is>
          <t>ok</t>
        </is>
      </c>
      <c r="Y169" s="19" t="n">
        <v>0.002</v>
      </c>
      <c r="Z169" s="6" t="inlineStr">
        <is>
          <t>ok</t>
        </is>
      </c>
      <c r="AA169" s="12" t="n">
        <v>100</v>
      </c>
      <c r="AB169" s="15" t="n"/>
      <c r="AC169" s="6" t="inlineStr">
        <is>
          <t>ok</t>
        </is>
      </c>
      <c r="AD169" s="6" t="inlineStr">
        <is>
          <t>up</t>
        </is>
      </c>
      <c r="AE169" s="17" t="n">
        <v>26.5923</v>
      </c>
      <c r="AF169" s="17" t="n">
        <v>24.0616</v>
      </c>
      <c r="AG169" s="17" t="n">
        <v>29.123</v>
      </c>
      <c r="AH169" s="20" t="n">
        <v>46332</v>
      </c>
      <c r="AI169" s="18" t="n">
        <v>0.58</v>
      </c>
      <c r="AJ169" s="6" t="inlineStr">
        <is>
          <t>ok</t>
        </is>
      </c>
      <c r="AK169" s="12" t="n">
        <v>0</v>
      </c>
      <c r="AL169" s="15" t="n"/>
      <c r="AM169" s="17" t="n">
        <v>25.58</v>
      </c>
      <c r="AN169" s="19" t="n">
        <v>-0.0233</v>
      </c>
      <c r="AO169" s="17" t="n">
        <v>99252.42</v>
      </c>
      <c r="AP169" s="17" t="n">
        <v>11037.02</v>
      </c>
      <c r="AQ169" s="19" t="n">
        <v>0.0833</v>
      </c>
      <c r="AR169" s="16" t="n"/>
      <c r="AS169" s="17" t="n"/>
      <c r="AT169" s="19" t="n"/>
      <c r="AU169" s="6" t="inlineStr">
        <is>
          <t>paper</t>
        </is>
      </c>
      <c r="AV169" s="6" t="inlineStr">
        <is>
          <t>ca38c263-e885-4d83-bc75-f4be21270219</t>
        </is>
      </c>
      <c r="AW169" s="6" t="inlineStr">
        <is>
          <t>tdagent-buy-NTSK-1793368122524</t>
        </is>
      </c>
      <c r="AX169" s="13" t="n">
        <v>46325.57548611111</v>
      </c>
      <c r="AY169" s="13" t="n">
        <v>46325.57554398148</v>
      </c>
      <c r="AZ169" s="13" t="n">
        <v>46325.57515046297</v>
      </c>
      <c r="BA169" s="6" t="n"/>
    </row>
    <row r="170">
      <c r="A170" s="12" t="n">
        <v>169</v>
      </c>
      <c r="B170" s="13" t="n">
        <v>46325.7096875</v>
      </c>
      <c r="C170" s="13" t="n">
        <v>46325.50135416666</v>
      </c>
      <c r="D170" s="13" t="n">
        <v>46325.66802083333</v>
      </c>
      <c r="E170" s="21" t="inlineStr">
        <is>
          <t>SELL</t>
        </is>
      </c>
      <c r="F170" s="6" t="inlineStr">
        <is>
          <t>NTSK</t>
        </is>
      </c>
      <c r="G170" s="15" t="n"/>
      <c r="H170" s="6" t="n"/>
      <c r="I170" s="6" t="inlineStr">
        <is>
          <t>filled</t>
        </is>
      </c>
      <c r="J170" s="16" t="n">
        <v>36.050548589</v>
      </c>
      <c r="K170" s="17" t="n">
        <v>24.21</v>
      </c>
      <c r="L170" s="17">
        <f>IF(AND(ISNUMBER(J170),ISNUMBER(K170)),J170*K170,"")</f>
        <v/>
      </c>
      <c r="M170" s="17" t="n"/>
      <c r="N170" s="16" t="n">
        <v>36.050548589</v>
      </c>
      <c r="O170" s="6" t="inlineStr">
        <is>
          <t>stop-loss (Alpaca order)</t>
        </is>
      </c>
      <c r="P170" s="15" t="inlineStr">
        <is>
          <t>Alpaca stop order triggered at 24.23 (the stock's sell line)</t>
        </is>
      </c>
      <c r="Q170" s="12" t="n"/>
      <c r="R170" s="6" t="n"/>
      <c r="S170" s="18" t="n"/>
      <c r="T170" s="12" t="n"/>
      <c r="U170" s="19" t="n"/>
      <c r="V170" s="19" t="n"/>
      <c r="W170" s="12" t="n"/>
      <c r="X170" s="6" t="n"/>
      <c r="Y170" s="19" t="n"/>
      <c r="Z170" s="6" t="n"/>
      <c r="AA170" s="12" t="n"/>
      <c r="AB170" s="15" t="n"/>
      <c r="AC170" s="6" t="n"/>
      <c r="AD170" s="6" t="n"/>
      <c r="AE170" s="17" t="n"/>
      <c r="AF170" s="17" t="n"/>
      <c r="AG170" s="17" t="n"/>
      <c r="AH170" s="20" t="n"/>
      <c r="AI170" s="18" t="n"/>
      <c r="AJ170" s="6" t="n"/>
      <c r="AK170" s="12" t="n"/>
      <c r="AL170" s="15" t="n"/>
      <c r="AM170" s="17" t="n"/>
      <c r="AN170" s="19" t="n"/>
      <c r="AO170" s="17" t="n"/>
      <c r="AP170" s="17" t="n"/>
      <c r="AQ170" s="19" t="n"/>
      <c r="AR170" s="16" t="n"/>
      <c r="AS170" s="17" t="n"/>
      <c r="AT170" s="19" t="n"/>
      <c r="AU170" s="6" t="inlineStr">
        <is>
          <t>paper</t>
        </is>
      </c>
      <c r="AV170" s="6" t="inlineStr">
        <is>
          <t>e9456b6d-cb33-4648-a824-8d5159883aa8</t>
        </is>
      </c>
      <c r="AW170" s="6" t="inlineStr">
        <is>
          <t>tdagent-stop-NTSK-1793368321507</t>
        </is>
      </c>
      <c r="AX170" s="13" t="n">
        <v>46325.57778935185</v>
      </c>
      <c r="AY170" s="13" t="n">
        <v>46325.66802083333</v>
      </c>
      <c r="AZ170" s="13" t="n"/>
      <c r="BA170" s="6" t="n"/>
    </row>
    <row r="171">
      <c r="A171" s="12" t="n">
        <v>170</v>
      </c>
      <c r="B171" s="13" t="n">
        <v>46325.6212037037</v>
      </c>
      <c r="C171" s="13" t="n">
        <v>46325.41287037037</v>
      </c>
      <c r="D171" s="13" t="n">
        <v>46325.57953703704</v>
      </c>
      <c r="E171" s="21" t="inlineStr">
        <is>
          <t>SELL</t>
        </is>
      </c>
      <c r="F171" s="6" t="inlineStr">
        <is>
          <t>AVTR</t>
        </is>
      </c>
      <c r="G171" s="15" t="inlineStr">
        <is>
          <t>AVTR</t>
        </is>
      </c>
      <c r="H171" s="6" t="inlineStr">
        <is>
          <t>NYSE</t>
        </is>
      </c>
      <c r="I171" s="6" t="inlineStr">
        <is>
          <t>filled</t>
        </is>
      </c>
      <c r="J171" s="16" t="n">
        <v>506</v>
      </c>
      <c r="K171" s="17" t="n">
        <v>16.09581</v>
      </c>
      <c r="L171" s="17">
        <f>IF(AND(ISNUMBER(J171),ISNUMBER(K171)),J171*K171,"")</f>
        <v/>
      </c>
      <c r="M171" s="17" t="n"/>
      <c r="N171" s="16" t="n">
        <v>506</v>
      </c>
      <c r="O171" s="6" t="inlineStr">
        <is>
          <t>bad day</t>
        </is>
      </c>
      <c r="P171" s="15" t="inlineStr">
        <is>
          <t>Bad day: down 3.6% today and only 4 of 5 green</t>
        </is>
      </c>
      <c r="Q171" s="12" t="n">
        <v>4</v>
      </c>
      <c r="R171" s="6" t="inlineStr">
        <is>
          <t>ok</t>
        </is>
      </c>
      <c r="S171" s="18" t="n">
        <v>0.823</v>
      </c>
      <c r="T171" s="12" t="n">
        <v>62</v>
      </c>
      <c r="U171" s="19" t="n">
        <v>0.0453</v>
      </c>
      <c r="V171" s="19" t="n">
        <v>0.2893</v>
      </c>
      <c r="W171" s="12" t="n"/>
      <c r="X171" s="6" t="inlineStr">
        <is>
          <t>ok</t>
        </is>
      </c>
      <c r="Y171" s="19" t="n">
        <v>0.0005999999999999999</v>
      </c>
      <c r="Z171" s="6" t="inlineStr">
        <is>
          <t>ok</t>
        </is>
      </c>
      <c r="AA171" s="12" t="n">
        <v>100</v>
      </c>
      <c r="AB171" s="15" t="n"/>
      <c r="AC171" s="6" t="inlineStr">
        <is>
          <t>ok</t>
        </is>
      </c>
      <c r="AD171" s="6" t="inlineStr">
        <is>
          <t>up</t>
        </is>
      </c>
      <c r="AE171" s="17" t="n">
        <v>16.4138</v>
      </c>
      <c r="AF171" s="17" t="n">
        <v>15.7543</v>
      </c>
      <c r="AG171" s="17" t="n">
        <v>17.0734</v>
      </c>
      <c r="AH171" s="20" t="n">
        <v>46332</v>
      </c>
      <c r="AI171" s="18" t="n">
        <v>0.55</v>
      </c>
      <c r="AJ171" s="6" t="inlineStr">
        <is>
          <t>alert</t>
        </is>
      </c>
      <c r="AK171" s="12" t="n">
        <v>10</v>
      </c>
      <c r="AL171" s="15" t="inlineStr">
        <is>
          <t>Avantor Q3 2026 Earnings Call Transcript</t>
        </is>
      </c>
      <c r="AM171" s="17" t="n">
        <v>16.155</v>
      </c>
      <c r="AN171" s="19" t="n">
        <v>-0.0315</v>
      </c>
      <c r="AO171" s="17" t="n">
        <v>99175.84</v>
      </c>
      <c r="AP171" s="17" t="n">
        <v>12864.5</v>
      </c>
      <c r="AQ171" s="19" t="n">
        <v>0.0833</v>
      </c>
      <c r="AR171" s="16" t="n">
        <v>506</v>
      </c>
      <c r="AS171" s="17" t="n">
        <v>16.368458</v>
      </c>
      <c r="AT171" s="19" t="n">
        <v>-0.0176</v>
      </c>
      <c r="AU171" s="6" t="inlineStr">
        <is>
          <t>paper</t>
        </is>
      </c>
      <c r="AV171" s="6" t="inlineStr">
        <is>
          <t>5a2aff3f-e025-4347-b4bc-5b807d79a3dd</t>
        </is>
      </c>
      <c r="AW171" s="6" t="inlineStr">
        <is>
          <t>tdagent-sell-AVTR-1793368471561</t>
        </is>
      </c>
      <c r="AX171" s="13" t="n">
        <v>46325.57952546296</v>
      </c>
      <c r="AY171" s="13" t="n">
        <v>46325.57953703704</v>
      </c>
      <c r="AZ171" s="13" t="n">
        <v>46325.57931712963</v>
      </c>
      <c r="BA171" s="6" t="n"/>
    </row>
    <row r="172">
      <c r="A172" s="12" t="n">
        <v>171</v>
      </c>
      <c r="B172" s="13" t="n">
        <v>46325.62579861111</v>
      </c>
      <c r="C172" s="13" t="n">
        <v>46325.41746527778</v>
      </c>
      <c r="D172" s="13" t="n">
        <v>46325.58413194444</v>
      </c>
      <c r="E172" s="14" t="inlineStr">
        <is>
          <t>BUY</t>
        </is>
      </c>
      <c r="F172" s="6" t="inlineStr">
        <is>
          <t>TENB</t>
        </is>
      </c>
      <c r="G172" s="15" t="inlineStr">
        <is>
          <t>Tenable Holdings, Inc. Common Stock</t>
        </is>
      </c>
      <c r="H172" s="6" t="inlineStr">
        <is>
          <t>NASDAQ</t>
        </is>
      </c>
      <c r="I172" s="6" t="inlineStr">
        <is>
          <t>filled</t>
        </is>
      </c>
      <c r="J172" s="16" t="n">
        <v>34.46297755</v>
      </c>
      <c r="K172" s="17" t="n">
        <v>50.78</v>
      </c>
      <c r="L172" s="17">
        <f>IF(AND(ISNUMBER(J172),ISNUMBER(K172)),J172*K172,"")</f>
        <v/>
      </c>
      <c r="M172" s="17" t="n">
        <v>1750.04</v>
      </c>
      <c r="N172" s="16" t="n"/>
      <c r="O172" s="6" t="inlineStr">
        <is>
          <t>4+/5 green</t>
        </is>
      </c>
      <c r="P172" s="15" t="inlineStr">
        <is>
          <t>4 of 5 green, time machine green, rank #4, 8.33% of the $21,008.98 free cash split 12 ways</t>
        </is>
      </c>
      <c r="Q172" s="12" t="n">
        <v>4</v>
      </c>
      <c r="R172" s="6" t="inlineStr">
        <is>
          <t>ok</t>
        </is>
      </c>
      <c r="S172" s="18" t="n">
        <v>0.625</v>
      </c>
      <c r="T172" s="12" t="n">
        <v>32</v>
      </c>
      <c r="U172" s="19" t="n">
        <v>0.0703</v>
      </c>
      <c r="V172" s="19" t="n">
        <v>0.2893</v>
      </c>
      <c r="W172" s="12" t="n">
        <v>4</v>
      </c>
      <c r="X172" s="6" t="inlineStr">
        <is>
          <t>ok</t>
        </is>
      </c>
      <c r="Y172" s="19" t="n">
        <v>0.0038</v>
      </c>
      <c r="Z172" s="6" t="inlineStr">
        <is>
          <t>ok</t>
        </is>
      </c>
      <c r="AA172" s="12" t="n">
        <v>100</v>
      </c>
      <c r="AB172" s="15" t="n"/>
      <c r="AC172" s="6" t="inlineStr">
        <is>
          <t>ok</t>
        </is>
      </c>
      <c r="AD172" s="6" t="inlineStr">
        <is>
          <t>up</t>
        </is>
      </c>
      <c r="AE172" s="17" t="n">
        <v>52.721</v>
      </c>
      <c r="AF172" s="17" t="n">
        <v>47.506</v>
      </c>
      <c r="AG172" s="17" t="n">
        <v>57.9361</v>
      </c>
      <c r="AH172" s="20" t="n">
        <v>46332</v>
      </c>
      <c r="AI172" s="18" t="n">
        <v>0.5600000000000001</v>
      </c>
      <c r="AJ172" s="6" t="inlineStr">
        <is>
          <t>watch</t>
        </is>
      </c>
      <c r="AK172" s="12" t="n">
        <v>10</v>
      </c>
      <c r="AL172" s="15" t="inlineStr">
        <is>
          <t>Canaccord Genuity Maintains Buy on Tenable Holdings, Raises Price Target to $54</t>
        </is>
      </c>
      <c r="AM172" s="17" t="n">
        <v>50.83</v>
      </c>
      <c r="AN172" s="19" t="n">
        <v>-0.0219</v>
      </c>
      <c r="AO172" s="17" t="n">
        <v>99162.94</v>
      </c>
      <c r="AP172" s="17" t="n">
        <v>21008.98</v>
      </c>
      <c r="AQ172" s="19" t="n">
        <v>0.0833</v>
      </c>
      <c r="AR172" s="16" t="n"/>
      <c r="AS172" s="17" t="n"/>
      <c r="AT172" s="19" t="n"/>
      <c r="AU172" s="6" t="inlineStr">
        <is>
          <t>paper</t>
        </is>
      </c>
      <c r="AV172" s="6" t="inlineStr">
        <is>
          <t>df26cb82-ab44-4a98-98a5-5d4ad6ebca75</t>
        </is>
      </c>
      <c r="AW172" s="6" t="inlineStr">
        <is>
          <t>tdagent-buy-TENB-1793368866439</t>
        </is>
      </c>
      <c r="AX172" s="13" t="n">
        <v>46325.58409722222</v>
      </c>
      <c r="AY172" s="13" t="n">
        <v>46325.58413194444</v>
      </c>
      <c r="AZ172" s="13" t="n">
        <v>46325.58353009259</v>
      </c>
      <c r="BA172" s="6" t="n"/>
    </row>
    <row r="173">
      <c r="A173" s="12" t="n">
        <v>172</v>
      </c>
      <c r="B173" s="13" t="n">
        <v>46325.62979166667</v>
      </c>
      <c r="C173" s="13" t="n">
        <v>46325.42145833333</v>
      </c>
      <c r="D173" s="13" t="n">
        <v>46325.588125</v>
      </c>
      <c r="E173" s="14" t="inlineStr">
        <is>
          <t>BUY</t>
        </is>
      </c>
      <c r="F173" s="6" t="inlineStr">
        <is>
          <t>DT</t>
        </is>
      </c>
      <c r="G173" s="15" t="inlineStr">
        <is>
          <t>Dynatrace, Inc.</t>
        </is>
      </c>
      <c r="H173" s="6" t="inlineStr">
        <is>
          <t>NYSE</t>
        </is>
      </c>
      <c r="I173" s="6" t="inlineStr">
        <is>
          <t>filled</t>
        </is>
      </c>
      <c r="J173" s="16" t="n">
        <v>27.311201906</v>
      </c>
      <c r="K173" s="17" t="n">
        <v>58.74</v>
      </c>
      <c r="L173" s="17">
        <f>IF(AND(ISNUMBER(J173),ISNUMBER(K173)),J173*K173,"")</f>
        <v/>
      </c>
      <c r="M173" s="17" t="n">
        <v>1604.27</v>
      </c>
      <c r="N173" s="16" t="n"/>
      <c r="O173" s="6" t="inlineStr">
        <is>
          <t>4+/5 green</t>
        </is>
      </c>
      <c r="P173" s="15" t="inlineStr">
        <is>
          <t>5 of 5 green, time machine green, rank #1, 8.33% of the $19,258.95 free cash split 12 ways</t>
        </is>
      </c>
      <c r="Q173" s="12" t="n">
        <v>5</v>
      </c>
      <c r="R173" s="6" t="inlineStr">
        <is>
          <t>ok</t>
        </is>
      </c>
      <c r="S173" s="18" t="n">
        <v>0.623</v>
      </c>
      <c r="T173" s="12" t="n">
        <v>53</v>
      </c>
      <c r="U173" s="19" t="n">
        <v>0.0115</v>
      </c>
      <c r="V173" s="19" t="n">
        <v>0.2893</v>
      </c>
      <c r="W173" s="12" t="n">
        <v>1</v>
      </c>
      <c r="X173" s="6" t="inlineStr">
        <is>
          <t>ok</t>
        </is>
      </c>
      <c r="Y173" s="19" t="n">
        <v>0.0008</v>
      </c>
      <c r="Z173" s="6" t="inlineStr">
        <is>
          <t>ok</t>
        </is>
      </c>
      <c r="AA173" s="12" t="n">
        <v>100</v>
      </c>
      <c r="AB173" s="15" t="n"/>
      <c r="AC173" s="6" t="inlineStr">
        <is>
          <t>ok</t>
        </is>
      </c>
      <c r="AD173" s="6" t="inlineStr">
        <is>
          <t>up</t>
        </is>
      </c>
      <c r="AE173" s="17" t="n">
        <v>59.837</v>
      </c>
      <c r="AF173" s="17" t="n">
        <v>56.957</v>
      </c>
      <c r="AG173" s="17" t="n">
        <v>62.7169</v>
      </c>
      <c r="AH173" s="20" t="n">
        <v>46332</v>
      </c>
      <c r="AI173" s="18" t="n">
        <v>0.53</v>
      </c>
      <c r="AJ173" s="6" t="inlineStr">
        <is>
          <t>ok</t>
        </is>
      </c>
      <c r="AK173" s="12" t="n">
        <v>2</v>
      </c>
      <c r="AL173" s="15" t="inlineStr">
        <is>
          <t>Cantor Fitzgerald Maintains Neutral on Dynatrace, Raises Price Target to $65</t>
        </is>
      </c>
      <c r="AM173" s="17" t="n">
        <v>58.64</v>
      </c>
      <c r="AN173" s="19" t="n">
        <v>-0.0375</v>
      </c>
      <c r="AO173" s="17" t="n">
        <v>98992.64</v>
      </c>
      <c r="AP173" s="17" t="n">
        <v>19258.95</v>
      </c>
      <c r="AQ173" s="19" t="n">
        <v>0.0833</v>
      </c>
      <c r="AR173" s="16" t="n"/>
      <c r="AS173" s="17" t="n"/>
      <c r="AT173" s="19" t="n"/>
      <c r="AU173" s="6" t="inlineStr">
        <is>
          <t>paper</t>
        </is>
      </c>
      <c r="AV173" s="6" t="inlineStr">
        <is>
          <t>6f7f923d-4a6d-435f-8adf-d0b1a958b583</t>
        </is>
      </c>
      <c r="AW173" s="6" t="inlineStr">
        <is>
          <t>tdagent-buy-DT-1793369214139</t>
        </is>
      </c>
      <c r="AX173" s="13" t="n">
        <v>46325.588125</v>
      </c>
      <c r="AY173" s="13" t="n">
        <v>46325.588125</v>
      </c>
      <c r="AZ173" s="13" t="n">
        <v>46325.58769675926</v>
      </c>
      <c r="BA173" s="6" t="n"/>
    </row>
    <row r="174">
      <c r="A174" s="12" t="n">
        <v>173</v>
      </c>
      <c r="B174" s="13" t="n">
        <v>46325.63380787037</v>
      </c>
      <c r="C174" s="13" t="n">
        <v>46325.42547453703</v>
      </c>
      <c r="D174" s="13" t="n">
        <v>46325.59214120371</v>
      </c>
      <c r="E174" s="21" t="inlineStr">
        <is>
          <t>SELL</t>
        </is>
      </c>
      <c r="F174" s="6" t="inlineStr">
        <is>
          <t>DT</t>
        </is>
      </c>
      <c r="G174" s="15" t="inlineStr">
        <is>
          <t>DT</t>
        </is>
      </c>
      <c r="H174" s="6" t="inlineStr">
        <is>
          <t>NYSE</t>
        </is>
      </c>
      <c r="I174" s="6" t="inlineStr">
        <is>
          <t>filled</t>
        </is>
      </c>
      <c r="J174" s="16" t="n">
        <v>27.311201906</v>
      </c>
      <c r="K174" s="17" t="n">
        <v>58.09293</v>
      </c>
      <c r="L174" s="17">
        <f>IF(AND(ISNUMBER(J174),ISNUMBER(K174)),J174*K174,"")</f>
        <v/>
      </c>
      <c r="M174" s="17" t="n"/>
      <c r="N174" s="16" t="n">
        <v>27.311201906</v>
      </c>
      <c r="O174" s="6" t="inlineStr">
        <is>
          <t>bad day</t>
        </is>
      </c>
      <c r="P174" s="15" t="inlineStr">
        <is>
          <t>Bad day: down 4.7% today and only 4 of 5 green</t>
        </is>
      </c>
      <c r="Q174" s="12" t="n">
        <v>4</v>
      </c>
      <c r="R174" s="6" t="inlineStr">
        <is>
          <t>ok</t>
        </is>
      </c>
      <c r="S174" s="18" t="n">
        <v>0.623</v>
      </c>
      <c r="T174" s="12" t="n">
        <v>53</v>
      </c>
      <c r="U174" s="19" t="n">
        <v>0.0115</v>
      </c>
      <c r="V174" s="19" t="n">
        <v>0.2893</v>
      </c>
      <c r="W174" s="12" t="n"/>
      <c r="X174" s="6" t="inlineStr">
        <is>
          <t>watch</t>
        </is>
      </c>
      <c r="Y174" s="19" t="n">
        <v>0.009899999999999999</v>
      </c>
      <c r="Z174" s="6" t="inlineStr">
        <is>
          <t>ok</t>
        </is>
      </c>
      <c r="AA174" s="12" t="n">
        <v>100</v>
      </c>
      <c r="AB174" s="15" t="n"/>
      <c r="AC174" s="6" t="inlineStr">
        <is>
          <t>ok</t>
        </is>
      </c>
      <c r="AD174" s="6" t="inlineStr">
        <is>
          <t>up</t>
        </is>
      </c>
      <c r="AE174" s="17" t="n">
        <v>59.3861</v>
      </c>
      <c r="AF174" s="17" t="n">
        <v>56.4959</v>
      </c>
      <c r="AG174" s="17" t="n">
        <v>62.2763</v>
      </c>
      <c r="AH174" s="20" t="n">
        <v>46332</v>
      </c>
      <c r="AI174" s="18" t="n">
        <v>0.53</v>
      </c>
      <c r="AJ174" s="6" t="inlineStr">
        <is>
          <t>ok</t>
        </is>
      </c>
      <c r="AK174" s="12" t="n">
        <v>2</v>
      </c>
      <c r="AL174" s="15" t="inlineStr">
        <is>
          <t>Cantor Fitzgerald Maintains Neutral on Dynatrace, Raises Price Target to $65</t>
        </is>
      </c>
      <c r="AM174" s="17" t="n">
        <v>58.23</v>
      </c>
      <c r="AN174" s="19" t="n">
        <v>-0.0449</v>
      </c>
      <c r="AO174" s="17" t="n">
        <v>98829.39</v>
      </c>
      <c r="AP174" s="17" t="n">
        <v>17654.69</v>
      </c>
      <c r="AQ174" s="19" t="n">
        <v>0.0833</v>
      </c>
      <c r="AR174" s="16" t="n">
        <v>27.311201906</v>
      </c>
      <c r="AS174" s="17" t="n">
        <v>58.74</v>
      </c>
      <c r="AT174" s="19" t="n">
        <v>-0.0104</v>
      </c>
      <c r="AU174" s="6" t="inlineStr">
        <is>
          <t>paper</t>
        </is>
      </c>
      <c r="AV174" s="6" t="inlineStr">
        <is>
          <t>3aba86b3-800e-4454-825b-262acadd79a0</t>
        </is>
      </c>
      <c r="AW174" s="6" t="inlineStr">
        <is>
          <t>tdagent-sell-DT-1793369558035</t>
        </is>
      </c>
      <c r="AX174" s="13" t="n">
        <v>46325.59210648148</v>
      </c>
      <c r="AY174" s="13" t="n">
        <v>46325.59214120371</v>
      </c>
      <c r="AZ174" s="13" t="n">
        <v>46325.59181712963</v>
      </c>
      <c r="BA174" s="6" t="n"/>
    </row>
    <row r="175">
      <c r="A175" s="12" t="n">
        <v>174</v>
      </c>
      <c r="B175" s="13" t="n">
        <v>46325.63377314815</v>
      </c>
      <c r="C175" s="13" t="n">
        <v>46325.42543981481</v>
      </c>
      <c r="D175" s="13" t="n">
        <v>46325.59210648148</v>
      </c>
      <c r="E175" s="21" t="inlineStr">
        <is>
          <t>SELL</t>
        </is>
      </c>
      <c r="F175" s="6" t="inlineStr">
        <is>
          <t>TENB</t>
        </is>
      </c>
      <c r="G175" s="15" t="inlineStr">
        <is>
          <t>TENB</t>
        </is>
      </c>
      <c r="H175" s="6" t="inlineStr">
        <is>
          <t>NASDAQ</t>
        </is>
      </c>
      <c r="I175" s="6" t="inlineStr">
        <is>
          <t>filled</t>
        </is>
      </c>
      <c r="J175" s="16" t="n">
        <v>34.46297755</v>
      </c>
      <c r="K175" s="17" t="n">
        <v>49.54</v>
      </c>
      <c r="L175" s="17">
        <f>IF(AND(ISNUMBER(J175),ISNUMBER(K175)),J175*K175,"")</f>
        <v/>
      </c>
      <c r="M175" s="17" t="n"/>
      <c r="N175" s="16" t="n">
        <v>34.46297755</v>
      </c>
      <c r="O175" s="6" t="inlineStr">
        <is>
          <t>bad day</t>
        </is>
      </c>
      <c r="P175" s="15" t="inlineStr">
        <is>
          <t>Bad day: down 4.0% today and only 4 of 5 green</t>
        </is>
      </c>
      <c r="Q175" s="12" t="n">
        <v>4</v>
      </c>
      <c r="R175" s="6" t="inlineStr">
        <is>
          <t>ok</t>
        </is>
      </c>
      <c r="S175" s="18" t="n">
        <v>0.625</v>
      </c>
      <c r="T175" s="12" t="n">
        <v>32</v>
      </c>
      <c r="U175" s="19" t="n">
        <v>0.0703</v>
      </c>
      <c r="V175" s="19" t="n">
        <v>0.2893</v>
      </c>
      <c r="W175" s="12" t="n"/>
      <c r="X175" s="6" t="inlineStr">
        <is>
          <t>ok</t>
        </is>
      </c>
      <c r="Y175" s="19" t="n">
        <v>0.0012</v>
      </c>
      <c r="Z175" s="6" t="inlineStr">
        <is>
          <t>ok</t>
        </is>
      </c>
      <c r="AA175" s="12" t="n">
        <v>100</v>
      </c>
      <c r="AB175" s="15" t="n"/>
      <c r="AC175" s="6" t="inlineStr">
        <is>
          <t>ok</t>
        </is>
      </c>
      <c r="AD175" s="6" t="inlineStr">
        <is>
          <t>up</t>
        </is>
      </c>
      <c r="AE175" s="17" t="n">
        <v>51.9228</v>
      </c>
      <c r="AF175" s="17" t="n">
        <v>46.7659</v>
      </c>
      <c r="AG175" s="17" t="n">
        <v>57.0797</v>
      </c>
      <c r="AH175" s="20" t="n">
        <v>46332</v>
      </c>
      <c r="AI175" s="18" t="n">
        <v>0.5600000000000001</v>
      </c>
      <c r="AJ175" s="6" t="inlineStr">
        <is>
          <t>watch</t>
        </is>
      </c>
      <c r="AK175" s="12" t="n">
        <v>10</v>
      </c>
      <c r="AL175" s="15" t="inlineStr">
        <is>
          <t>Canaccord Genuity Maintains Buy on Tenable Holdings, Raises Price Target to $54</t>
        </is>
      </c>
      <c r="AM175" s="17" t="n">
        <v>49.815</v>
      </c>
      <c r="AN175" s="19" t="n">
        <v>-0.0369</v>
      </c>
      <c r="AO175" s="17" t="n">
        <v>98829.39</v>
      </c>
      <c r="AP175" s="17" t="n">
        <v>17654.69</v>
      </c>
      <c r="AQ175" s="19" t="n">
        <v>0.0833</v>
      </c>
      <c r="AR175" s="16" t="n">
        <v>34.46297755</v>
      </c>
      <c r="AS175" s="17" t="n">
        <v>50.78</v>
      </c>
      <c r="AT175" s="19" t="n">
        <v>-0.0209</v>
      </c>
      <c r="AU175" s="6" t="inlineStr">
        <is>
          <t>paper</t>
        </is>
      </c>
      <c r="AV175" s="6" t="inlineStr">
        <is>
          <t>984f46f9-0553-4a10-aeff-3f4ecae19aab</t>
        </is>
      </c>
      <c r="AW175" s="6" t="inlineStr">
        <is>
          <t>tdagent-sell-TENB-1793369558105</t>
        </is>
      </c>
      <c r="AX175" s="13" t="n">
        <v>46325.59210648148</v>
      </c>
      <c r="AY175" s="13" t="n">
        <v>46325.59210648148</v>
      </c>
      <c r="AZ175" s="13" t="n">
        <v>46325.59181712963</v>
      </c>
      <c r="BA175" s="6" t="n"/>
    </row>
    <row r="176">
      <c r="A176" s="12" t="n">
        <v>175</v>
      </c>
      <c r="B176" s="13" t="n">
        <v>46325.63378472222</v>
      </c>
      <c r="C176" s="13" t="n">
        <v>46325.42545138889</v>
      </c>
      <c r="D176" s="13" t="n">
        <v>46325.59211805555</v>
      </c>
      <c r="E176" s="21" t="inlineStr">
        <is>
          <t>SELL</t>
        </is>
      </c>
      <c r="F176" s="6" t="inlineStr">
        <is>
          <t>ZS</t>
        </is>
      </c>
      <c r="G176" s="15" t="inlineStr">
        <is>
          <t>ZS</t>
        </is>
      </c>
      <c r="H176" s="6" t="inlineStr">
        <is>
          <t>NASDAQ</t>
        </is>
      </c>
      <c r="I176" s="6" t="inlineStr">
        <is>
          <t>filled</t>
        </is>
      </c>
      <c r="J176" s="16" t="n">
        <v>2.823788187</v>
      </c>
      <c r="K176" s="17" t="n">
        <v>238.21</v>
      </c>
      <c r="L176" s="17">
        <f>IF(AND(ISNUMBER(J176),ISNUMBER(K176)),J176*K176,"")</f>
        <v/>
      </c>
      <c r="M176" s="17" t="n"/>
      <c r="N176" s="16" t="n">
        <v>2.823788187</v>
      </c>
      <c r="O176" s="6" t="inlineStr">
        <is>
          <t>bad day</t>
        </is>
      </c>
      <c r="P176" s="15" t="inlineStr">
        <is>
          <t>Bad day: down 3.7% today and only 4 of 5 green</t>
        </is>
      </c>
      <c r="Q176" s="12" t="n">
        <v>4</v>
      </c>
      <c r="R176" s="6" t="inlineStr">
        <is>
          <t>ok</t>
        </is>
      </c>
      <c r="S176" s="18" t="n">
        <v>0.5580000000000001</v>
      </c>
      <c r="T176" s="12" t="n">
        <v>43</v>
      </c>
      <c r="U176" s="19" t="n">
        <v>0.0164</v>
      </c>
      <c r="V176" s="19" t="n">
        <v>0.2893</v>
      </c>
      <c r="W176" s="12" t="n"/>
      <c r="X176" s="6" t="inlineStr">
        <is>
          <t>ok</t>
        </is>
      </c>
      <c r="Y176" s="19" t="n">
        <v>0.0009</v>
      </c>
      <c r="Z176" s="6" t="inlineStr">
        <is>
          <t>ok</t>
        </is>
      </c>
      <c r="AA176" s="12" t="n">
        <v>100</v>
      </c>
      <c r="AB176" s="15" t="n"/>
      <c r="AC176" s="6" t="inlineStr">
        <is>
          <t>ok</t>
        </is>
      </c>
      <c r="AD176" s="6" t="inlineStr">
        <is>
          <t>up</t>
        </is>
      </c>
      <c r="AE176" s="17" t="n">
        <v>248.2477</v>
      </c>
      <c r="AF176" s="17" t="n">
        <v>225.5784</v>
      </c>
      <c r="AG176" s="17" t="n">
        <v>270.9171</v>
      </c>
      <c r="AH176" s="20" t="n">
        <v>46332</v>
      </c>
      <c r="AI176" s="18" t="n">
        <v>0.55</v>
      </c>
      <c r="AJ176" s="6" t="inlineStr">
        <is>
          <t>alert</t>
        </is>
      </c>
      <c r="AK176" s="12" t="n">
        <v>3</v>
      </c>
      <c r="AL176" s="15" t="inlineStr">
        <is>
          <t>ServiceNow Posts Downbeat Q3 Earnings, Joins Sprouts Farmers Market, Alphabet And Other Big Stocks Moving Lower In Thursday’s Pre-Market Session</t>
        </is>
      </c>
      <c r="AM176" s="17" t="n">
        <v>239.18</v>
      </c>
      <c r="AN176" s="19" t="n">
        <v>-0.0345</v>
      </c>
      <c r="AO176" s="17" t="n">
        <v>98829.39</v>
      </c>
      <c r="AP176" s="17" t="n">
        <v>17654.69</v>
      </c>
      <c r="AQ176" s="19" t="n">
        <v>0.0833</v>
      </c>
      <c r="AR176" s="16" t="n">
        <v>2.823788187</v>
      </c>
      <c r="AS176" s="17" t="n">
        <v>245.5</v>
      </c>
      <c r="AT176" s="19" t="n">
        <v>-0.0284</v>
      </c>
      <c r="AU176" s="6" t="inlineStr">
        <is>
          <t>paper</t>
        </is>
      </c>
      <c r="AV176" s="6" t="inlineStr">
        <is>
          <t>d4bb7f01-efee-40c4-8955-ac340b823f15</t>
        </is>
      </c>
      <c r="AW176" s="6" t="inlineStr">
        <is>
          <t>tdagent-sell-ZS-1793369558209</t>
        </is>
      </c>
      <c r="AX176" s="13" t="n">
        <v>46325.59210648148</v>
      </c>
      <c r="AY176" s="13" t="n">
        <v>46325.59211805555</v>
      </c>
      <c r="AZ176" s="13" t="n">
        <v>46325.59181712963</v>
      </c>
      <c r="BA176" s="6" t="n"/>
    </row>
    <row r="177">
      <c r="A177" s="12" t="n">
        <v>176</v>
      </c>
      <c r="B177" s="13" t="n">
        <v>46325.63377314815</v>
      </c>
      <c r="C177" s="13" t="n">
        <v>46325.42543981481</v>
      </c>
      <c r="D177" s="13" t="n">
        <v>46325.59210648148</v>
      </c>
      <c r="E177" s="14" t="inlineStr">
        <is>
          <t>BUY</t>
        </is>
      </c>
      <c r="F177" s="6" t="inlineStr">
        <is>
          <t>MA</t>
        </is>
      </c>
      <c r="G177" s="15" t="inlineStr">
        <is>
          <t>Mastercard Incorporated</t>
        </is>
      </c>
      <c r="H177" s="6" t="inlineStr">
        <is>
          <t>NYSE</t>
        </is>
      </c>
      <c r="I177" s="6" t="inlineStr">
        <is>
          <t>filled</t>
        </is>
      </c>
      <c r="J177" s="16" t="n">
        <v>2.314697642</v>
      </c>
      <c r="K177" s="17" t="n">
        <v>635.34</v>
      </c>
      <c r="L177" s="17">
        <f>IF(AND(ISNUMBER(J177),ISNUMBER(K177)),J177*K177,"")</f>
        <v/>
      </c>
      <c r="M177" s="17" t="n">
        <v>1470.63</v>
      </c>
      <c r="N177" s="16" t="n"/>
      <c r="O177" s="6" t="inlineStr">
        <is>
          <t>4+/5 green</t>
        </is>
      </c>
      <c r="P177" s="15" t="inlineStr">
        <is>
          <t>4 of 5 green, time machine green, rank #3, 8.33% of the $17,654.69 free cash split 12 ways</t>
        </is>
      </c>
      <c r="Q177" s="12" t="n">
        <v>4</v>
      </c>
      <c r="R177" s="6" t="inlineStr">
        <is>
          <t>ok</t>
        </is>
      </c>
      <c r="S177" s="18" t="n">
        <v>0.553</v>
      </c>
      <c r="T177" s="12" t="n">
        <v>47</v>
      </c>
      <c r="U177" s="19" t="n">
        <v>0.006500000000000001</v>
      </c>
      <c r="V177" s="19" t="n">
        <v>0.2893</v>
      </c>
      <c r="W177" s="12" t="n">
        <v>3</v>
      </c>
      <c r="X177" s="6" t="inlineStr">
        <is>
          <t>ok</t>
        </is>
      </c>
      <c r="Y177" s="19" t="n">
        <v>0.0003</v>
      </c>
      <c r="Z177" s="6" t="inlineStr">
        <is>
          <t>ok</t>
        </is>
      </c>
      <c r="AA177" s="12" t="n">
        <v>100</v>
      </c>
      <c r="AB177" s="15" t="n"/>
      <c r="AC177" s="6" t="inlineStr">
        <is>
          <t>ok</t>
        </is>
      </c>
      <c r="AD177" s="6" t="inlineStr">
        <is>
          <t>up</t>
        </is>
      </c>
      <c r="AE177" s="17" t="n">
        <v>642.7337</v>
      </c>
      <c r="AF177" s="17" t="n">
        <v>624.9244</v>
      </c>
      <c r="AG177" s="17" t="n">
        <v>660.543</v>
      </c>
      <c r="AH177" s="20" t="n">
        <v>46332</v>
      </c>
      <c r="AI177" s="18" t="n">
        <v>0.57</v>
      </c>
      <c r="AJ177" s="6" t="inlineStr">
        <is>
          <t>watch</t>
        </is>
      </c>
      <c r="AK177" s="12" t="n">
        <v>10</v>
      </c>
      <c r="AL177" s="15" t="inlineStr">
        <is>
          <t>Mastercard CEO Says Consumers Keep Spending Despite Economic Uncertainty</t>
        </is>
      </c>
      <c r="AM177" s="17" t="n">
        <v>635.79</v>
      </c>
      <c r="AN177" s="19" t="n">
        <v>-0.0003</v>
      </c>
      <c r="AO177" s="17" t="n">
        <v>98829.39</v>
      </c>
      <c r="AP177" s="17" t="n">
        <v>17654.69</v>
      </c>
      <c r="AQ177" s="19" t="n">
        <v>0.0833</v>
      </c>
      <c r="AR177" s="16" t="n"/>
      <c r="AS177" s="17" t="n"/>
      <c r="AT177" s="19" t="n"/>
      <c r="AU177" s="6" t="inlineStr">
        <is>
          <t>paper</t>
        </is>
      </c>
      <c r="AV177" s="6" t="inlineStr">
        <is>
          <t>4ca2815e-a09a-46bc-87fa-e5e8ec48e277</t>
        </is>
      </c>
      <c r="AW177" s="6" t="inlineStr">
        <is>
          <t>tdagent-buy-MA-1793369558286</t>
        </is>
      </c>
      <c r="AX177" s="13" t="n">
        <v>46325.59210648148</v>
      </c>
      <c r="AY177" s="13" t="n">
        <v>46325.59210648148</v>
      </c>
      <c r="AZ177" s="13" t="n">
        <v>46325.59181712963</v>
      </c>
      <c r="BA177" s="6" t="n"/>
    </row>
    <row r="178">
      <c r="A178" s="12" t="n">
        <v>177</v>
      </c>
      <c r="B178" s="13" t="n">
        <v>46325.64648148148</v>
      </c>
      <c r="C178" s="13" t="n">
        <v>46325.43814814815</v>
      </c>
      <c r="D178" s="13" t="n">
        <v>46325.60481481482</v>
      </c>
      <c r="E178" s="14" t="inlineStr">
        <is>
          <t>BUY</t>
        </is>
      </c>
      <c r="F178" s="6" t="inlineStr">
        <is>
          <t>ULTA</t>
        </is>
      </c>
      <c r="G178" s="15" t="inlineStr">
        <is>
          <t>Ulta Beauty, Inc. Common Stock</t>
        </is>
      </c>
      <c r="H178" s="6" t="inlineStr">
        <is>
          <t>NASDAQ</t>
        </is>
      </c>
      <c r="I178" s="6" t="inlineStr">
        <is>
          <t>filled</t>
        </is>
      </c>
      <c r="J178" s="16" t="n">
        <v>2.62602669</v>
      </c>
      <c r="K178" s="17" t="n">
        <v>639.1900000000001</v>
      </c>
      <c r="L178" s="17">
        <f>IF(AND(ISNUMBER(J178),ISNUMBER(K178)),J178*K178,"")</f>
        <v/>
      </c>
      <c r="M178" s="17" t="n">
        <v>1678.54</v>
      </c>
      <c r="N178" s="16" t="n"/>
      <c r="O178" s="6" t="inlineStr">
        <is>
          <t>4+/5 green</t>
        </is>
      </c>
      <c r="P178" s="15" t="inlineStr">
        <is>
          <t>5 of 5 green, time machine green, rank #1, 8.33% of the $20,150.61 free cash split 12 ways</t>
        </is>
      </c>
      <c r="Q178" s="12" t="n">
        <v>5</v>
      </c>
      <c r="R178" s="6" t="inlineStr">
        <is>
          <t>ok</t>
        </is>
      </c>
      <c r="S178" s="18" t="n">
        <v>0.696</v>
      </c>
      <c r="T178" s="12" t="n">
        <v>46</v>
      </c>
      <c r="U178" s="19" t="n">
        <v>0.0202</v>
      </c>
      <c r="V178" s="19" t="n">
        <v>0.2893</v>
      </c>
      <c r="W178" s="12" t="n">
        <v>1</v>
      </c>
      <c r="X178" s="6" t="inlineStr">
        <is>
          <t>ok</t>
        </is>
      </c>
      <c r="Y178" s="19" t="n">
        <v>0.0013</v>
      </c>
      <c r="Z178" s="6" t="inlineStr">
        <is>
          <t>ok</t>
        </is>
      </c>
      <c r="AA178" s="12" t="n">
        <v>100</v>
      </c>
      <c r="AB178" s="15" t="n"/>
      <c r="AC178" s="6" t="inlineStr">
        <is>
          <t>ok</t>
        </is>
      </c>
      <c r="AD178" s="6" t="inlineStr">
        <is>
          <t>up</t>
        </is>
      </c>
      <c r="AE178" s="17" t="n">
        <v>649.3541</v>
      </c>
      <c r="AF178" s="17" t="n">
        <v>618.4689</v>
      </c>
      <c r="AG178" s="17" t="n">
        <v>680.2393</v>
      </c>
      <c r="AH178" s="20" t="n">
        <v>46332</v>
      </c>
      <c r="AI178" s="18" t="n">
        <v>0.5600000000000001</v>
      </c>
      <c r="AJ178" s="6" t="inlineStr">
        <is>
          <t>ok</t>
        </is>
      </c>
      <c r="AK178" s="12" t="n">
        <v>0</v>
      </c>
      <c r="AL178" s="15" t="n"/>
      <c r="AM178" s="17" t="n">
        <v>637</v>
      </c>
      <c r="AN178" s="19" t="n">
        <v>-0.0173</v>
      </c>
      <c r="AO178" s="17" t="n">
        <v>98693.97</v>
      </c>
      <c r="AP178" s="17" t="n">
        <v>20150.61</v>
      </c>
      <c r="AQ178" s="19" t="n">
        <v>0.0833</v>
      </c>
      <c r="AR178" s="16" t="n"/>
      <c r="AS178" s="17" t="n"/>
      <c r="AT178" s="19" t="n"/>
      <c r="AU178" s="6" t="inlineStr">
        <is>
          <t>paper</t>
        </is>
      </c>
      <c r="AV178" s="6" t="inlineStr">
        <is>
          <t>36e3edb5-18f6-40c6-a7ff-26e9431c1d43</t>
        </is>
      </c>
      <c r="AW178" s="6" t="inlineStr">
        <is>
          <t>tdagent-buy-ULTA-1793370656122</t>
        </is>
      </c>
      <c r="AX178" s="13" t="n">
        <v>46325.60481481482</v>
      </c>
      <c r="AY178" s="13" t="n">
        <v>46325.60481481482</v>
      </c>
      <c r="AZ178" s="13" t="n">
        <v>46325.60434027778</v>
      </c>
      <c r="BA178" s="6" t="n"/>
    </row>
    <row r="179">
      <c r="A179" s="12" t="n">
        <v>178</v>
      </c>
      <c r="B179" s="13" t="n">
        <v>46325.6675</v>
      </c>
      <c r="C179" s="13" t="n">
        <v>46325.45916666667</v>
      </c>
      <c r="D179" s="13" t="n">
        <v>46325.62583333333</v>
      </c>
      <c r="E179" s="14" t="inlineStr">
        <is>
          <t>BUY</t>
        </is>
      </c>
      <c r="F179" s="6" t="inlineStr">
        <is>
          <t>XOM</t>
        </is>
      </c>
      <c r="G179" s="15" t="inlineStr">
        <is>
          <t>ExxonMobil Holdings Corporation</t>
        </is>
      </c>
      <c r="H179" s="6" t="inlineStr">
        <is>
          <t>NYSE</t>
        </is>
      </c>
      <c r="I179" s="6" t="inlineStr">
        <is>
          <t>filled</t>
        </is>
      </c>
      <c r="J179" s="16" t="n">
        <v>8.322299745</v>
      </c>
      <c r="K179" s="17" t="n">
        <v>184.89</v>
      </c>
      <c r="L179" s="17">
        <f>IF(AND(ISNUMBER(J179),ISNUMBER(K179)),J179*K179,"")</f>
        <v/>
      </c>
      <c r="M179" s="17" t="n">
        <v>1538.72</v>
      </c>
      <c r="N179" s="16" t="n"/>
      <c r="O179" s="6" t="inlineStr">
        <is>
          <t>4+/5 green</t>
        </is>
      </c>
      <c r="P179" s="15" t="inlineStr">
        <is>
          <t>4 of 5 green, time machine green, rank #5, 8.33% of the $18,472.08 free cash split 12 ways</t>
        </is>
      </c>
      <c r="Q179" s="12" t="n">
        <v>4</v>
      </c>
      <c r="R179" s="6" t="inlineStr">
        <is>
          <t>ok</t>
        </is>
      </c>
      <c r="S179" s="18" t="n">
        <v>0.624</v>
      </c>
      <c r="T179" s="12" t="n">
        <v>93</v>
      </c>
      <c r="U179" s="19" t="n">
        <v>0.0119</v>
      </c>
      <c r="V179" s="19" t="n">
        <v>0.2893</v>
      </c>
      <c r="W179" s="12" t="n">
        <v>5</v>
      </c>
      <c r="X179" s="6" t="inlineStr">
        <is>
          <t>ok</t>
        </is>
      </c>
      <c r="Y179" s="19" t="n">
        <v>0.0003</v>
      </c>
      <c r="Z179" s="6" t="inlineStr">
        <is>
          <t>ok</t>
        </is>
      </c>
      <c r="AA179" s="12" t="n">
        <v>100</v>
      </c>
      <c r="AB179" s="15" t="n"/>
      <c r="AC179" s="6" t="inlineStr">
        <is>
          <t>ok</t>
        </is>
      </c>
      <c r="AD179" s="6" t="inlineStr">
        <is>
          <t>up</t>
        </is>
      </c>
      <c r="AE179" s="17" t="n">
        <v>187.3</v>
      </c>
      <c r="AF179" s="17" t="n">
        <v>181.1249</v>
      </c>
      <c r="AG179" s="17" t="n">
        <v>193.4751</v>
      </c>
      <c r="AH179" s="20" t="n">
        <v>46332</v>
      </c>
      <c r="AI179" s="18" t="n">
        <v>0.57</v>
      </c>
      <c r="AJ179" s="6" t="inlineStr">
        <is>
          <t>watch</t>
        </is>
      </c>
      <c r="AK179" s="12" t="n">
        <v>10</v>
      </c>
      <c r="AL179" s="15" t="inlineStr">
        <is>
          <t>Exxon Mobil Q3 2026 Earnings Call Transcript</t>
        </is>
      </c>
      <c r="AM179" s="17" t="n">
        <v>184.77</v>
      </c>
      <c r="AN179" s="19" t="n">
        <v>0.0091</v>
      </c>
      <c r="AO179" s="17" t="n">
        <v>98639.38</v>
      </c>
      <c r="AP179" s="17" t="n">
        <v>18472.08</v>
      </c>
      <c r="AQ179" s="19" t="n">
        <v>0.0833</v>
      </c>
      <c r="AR179" s="16" t="n"/>
      <c r="AS179" s="17" t="n"/>
      <c r="AT179" s="19" t="n"/>
      <c r="AU179" s="6" t="inlineStr">
        <is>
          <t>paper</t>
        </is>
      </c>
      <c r="AV179" s="6" t="inlineStr">
        <is>
          <t>ec6e58b3-03d4-46ad-a5b7-e1b3da62dda8</t>
        </is>
      </c>
      <c r="AW179" s="6" t="inlineStr">
        <is>
          <t>tdagent-buy-XOM-1793372471119</t>
        </is>
      </c>
      <c r="AX179" s="13" t="n">
        <v>46325.62582175926</v>
      </c>
      <c r="AY179" s="13" t="n">
        <v>46325.62583333333</v>
      </c>
      <c r="AZ179" s="13" t="n">
        <v>46325.62520833333</v>
      </c>
      <c r="BA179" s="6" t="n"/>
    </row>
    <row r="180">
      <c r="A180" s="12" t="n">
        <v>179</v>
      </c>
      <c r="B180" s="13" t="n">
        <v>46325.67149305555</v>
      </c>
      <c r="C180" s="13" t="n">
        <v>46325.46315972223</v>
      </c>
      <c r="D180" s="13" t="n">
        <v>46325.62982638889</v>
      </c>
      <c r="E180" s="21" t="inlineStr">
        <is>
          <t>SELL</t>
        </is>
      </c>
      <c r="F180" s="6" t="inlineStr">
        <is>
          <t>ADI</t>
        </is>
      </c>
      <c r="G180" s="15" t="inlineStr">
        <is>
          <t>ADI</t>
        </is>
      </c>
      <c r="H180" s="6" t="inlineStr">
        <is>
          <t>NASDAQ</t>
        </is>
      </c>
      <c r="I180" s="6" t="inlineStr">
        <is>
          <t>filled</t>
        </is>
      </c>
      <c r="J180" s="16" t="n">
        <v>1.637432978</v>
      </c>
      <c r="K180" s="17" t="n">
        <v>414.8</v>
      </c>
      <c r="L180" s="17">
        <f>IF(AND(ISNUMBER(J180),ISNUMBER(K180)),J180*K180,"")</f>
        <v/>
      </c>
      <c r="M180" s="17" t="n"/>
      <c r="N180" s="16" t="n">
        <v>1.637432978</v>
      </c>
      <c r="O180" s="6" t="inlineStr">
        <is>
          <t>bad day</t>
        </is>
      </c>
      <c r="P180" s="15" t="inlineStr">
        <is>
          <t>Bad day: down 4.2% today and only 3 of 5 green</t>
        </is>
      </c>
      <c r="Q180" s="12" t="n">
        <v>3</v>
      </c>
      <c r="R180" s="6" t="inlineStr">
        <is>
          <t>ok</t>
        </is>
      </c>
      <c r="S180" s="18" t="n">
        <v>0.707</v>
      </c>
      <c r="T180" s="12" t="n">
        <v>75</v>
      </c>
      <c r="U180" s="19" t="n">
        <v>0.0147</v>
      </c>
      <c r="V180" s="19" t="n">
        <v>0.2893</v>
      </c>
      <c r="W180" s="12" t="n"/>
      <c r="X180" s="6" t="inlineStr">
        <is>
          <t>ok</t>
        </is>
      </c>
      <c r="Y180" s="19" t="n">
        <v>0.0003</v>
      </c>
      <c r="Z180" s="6" t="inlineStr">
        <is>
          <t>alert</t>
        </is>
      </c>
      <c r="AA180" s="12" t="n">
        <v>70</v>
      </c>
      <c r="AB180" s="15" t="inlineStr">
        <is>
          <t>Rose 4.2% then gave back most of it within hours. Looks like pump-and-fade.</t>
        </is>
      </c>
      <c r="AC180" s="6" t="inlineStr">
        <is>
          <t>watch</t>
        </is>
      </c>
      <c r="AD180" s="6" t="inlineStr">
        <is>
          <t>up</t>
        </is>
      </c>
      <c r="AE180" s="17" t="n">
        <v>422.5446</v>
      </c>
      <c r="AF180" s="17" t="n">
        <v>403.3831</v>
      </c>
      <c r="AG180" s="17" t="n">
        <v>441.706</v>
      </c>
      <c r="AH180" s="20" t="n">
        <v>46332</v>
      </c>
      <c r="AI180" s="18" t="n">
        <v>0.53</v>
      </c>
      <c r="AJ180" s="6" t="inlineStr">
        <is>
          <t>ok</t>
        </is>
      </c>
      <c r="AK180" s="12" t="n">
        <v>1</v>
      </c>
      <c r="AL180" s="15" t="inlineStr">
        <is>
          <t>If You Invested $1000 In Analog Devices Stock 5 Years Ago, You Would Have This Much Today</t>
        </is>
      </c>
      <c r="AM180" s="17" t="n">
        <v>414.88</v>
      </c>
      <c r="AN180" s="19" t="n">
        <v>-0.0423</v>
      </c>
      <c r="AO180" s="17" t="n">
        <v>98617.39</v>
      </c>
      <c r="AP180" s="17" t="n">
        <v>16933.37</v>
      </c>
      <c r="AQ180" s="19" t="n">
        <v>0.0833</v>
      </c>
      <c r="AR180" s="16" t="n">
        <v>1.637432978</v>
      </c>
      <c r="AS180" s="17" t="n">
        <v>423.37</v>
      </c>
      <c r="AT180" s="19" t="n">
        <v>-0.0194</v>
      </c>
      <c r="AU180" s="6" t="inlineStr">
        <is>
          <t>paper</t>
        </is>
      </c>
      <c r="AV180" s="6" t="inlineStr">
        <is>
          <t>7d07c064-98ce-48f2-bacd-1e7bf00c735b</t>
        </is>
      </c>
      <c r="AW180" s="6" t="inlineStr">
        <is>
          <t>tdagent-sell-ADI-1793372817147</t>
        </is>
      </c>
      <c r="AX180" s="13" t="n">
        <v>46325.62982638889</v>
      </c>
      <c r="AY180" s="13" t="n">
        <v>46325.62982638889</v>
      </c>
      <c r="AZ180" s="13" t="n">
        <v>46325.629375</v>
      </c>
      <c r="BA180" s="6" t="n"/>
    </row>
    <row r="181">
      <c r="A181" s="12" t="n">
        <v>180</v>
      </c>
      <c r="B181" s="13" t="n">
        <v>46325.78715277778</v>
      </c>
      <c r="C181" s="13" t="n">
        <v>46325.57881944445</v>
      </c>
      <c r="D181" s="13" t="n">
        <v>46325.74548611111</v>
      </c>
      <c r="E181" s="21" t="inlineStr">
        <is>
          <t>SELL</t>
        </is>
      </c>
      <c r="F181" s="6" t="inlineStr">
        <is>
          <t>EQT</t>
        </is>
      </c>
      <c r="G181" s="15" t="n"/>
      <c r="H181" s="6" t="n"/>
      <c r="I181" s="6" t="inlineStr">
        <is>
          <t>filled</t>
        </is>
      </c>
      <c r="J181" s="16" t="n">
        <v>150.343801052</v>
      </c>
      <c r="K181" s="17" t="n">
        <v>55.37</v>
      </c>
      <c r="L181" s="17">
        <f>IF(AND(ISNUMBER(J181),ISNUMBER(K181)),J181*K181,"")</f>
        <v/>
      </c>
      <c r="M181" s="17" t="n"/>
      <c r="N181" s="16" t="n">
        <v>150.343801052</v>
      </c>
      <c r="O181" s="6" t="inlineStr">
        <is>
          <t>stop-loss (Alpaca order)</t>
        </is>
      </c>
      <c r="P181" s="15" t="inlineStr">
        <is>
          <t>Alpaca stop order triggered at 55.38 (the stock's sell line)</t>
        </is>
      </c>
      <c r="Q181" s="12" t="n"/>
      <c r="R181" s="6" t="n"/>
      <c r="S181" s="18" t="n"/>
      <c r="T181" s="12" t="n"/>
      <c r="U181" s="19" t="n"/>
      <c r="V181" s="19" t="n"/>
      <c r="W181" s="12" t="n"/>
      <c r="X181" s="6" t="n"/>
      <c r="Y181" s="19" t="n"/>
      <c r="Z181" s="6" t="n"/>
      <c r="AA181" s="12" t="n"/>
      <c r="AB181" s="15" t="n"/>
      <c r="AC181" s="6" t="n"/>
      <c r="AD181" s="6" t="n"/>
      <c r="AE181" s="17" t="n"/>
      <c r="AF181" s="17" t="n"/>
      <c r="AG181" s="17" t="n"/>
      <c r="AH181" s="20" t="n"/>
      <c r="AI181" s="18" t="n"/>
      <c r="AJ181" s="6" t="n"/>
      <c r="AK181" s="12" t="n"/>
      <c r="AL181" s="15" t="n"/>
      <c r="AM181" s="17" t="n"/>
      <c r="AN181" s="19" t="n"/>
      <c r="AO181" s="17" t="n"/>
      <c r="AP181" s="17" t="n"/>
      <c r="AQ181" s="19" t="n"/>
      <c r="AR181" s="16" t="n"/>
      <c r="AS181" s="17" t="n"/>
      <c r="AT181" s="19" t="n"/>
      <c r="AU181" s="6" t="inlineStr">
        <is>
          <t>paper</t>
        </is>
      </c>
      <c r="AV181" s="6" t="inlineStr">
        <is>
          <t>3eb0bec5-6e74-4375-a7c3-ee4412ce6ae7</t>
        </is>
      </c>
      <c r="AW181" s="6" t="inlineStr">
        <is>
          <t>tdagent-stop-EQT-1793379721807</t>
        </is>
      </c>
      <c r="AX181" s="13" t="n">
        <v>46325.7097337963</v>
      </c>
      <c r="AY181" s="13" t="n">
        <v>46325.74548611111</v>
      </c>
      <c r="AZ181" s="13" t="n"/>
      <c r="BA181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07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  <row r="43">
      <c r="A43" s="6" t="inlineStr">
        <is>
          <t>OXY</t>
        </is>
      </c>
      <c r="B43" s="6" t="inlineStr">
        <is>
          <t>Occidental Petroleum Corporation</t>
        </is>
      </c>
      <c r="C43" s="22" t="n">
        <v>46324.60554398148</v>
      </c>
      <c r="D43" s="22" t="n">
        <v>46324.39721064815</v>
      </c>
      <c r="E43" s="17" t="n">
        <v>63.05</v>
      </c>
      <c r="F43" s="16" t="n">
        <v>132.370499603</v>
      </c>
      <c r="G43" s="17">
        <f>E43*F43</f>
        <v/>
      </c>
      <c r="H43" s="22" t="n">
        <v>46324.85458333333</v>
      </c>
      <c r="I43" s="22" t="n">
        <v>46324.64625</v>
      </c>
      <c r="J43" s="17" t="n">
        <v>62.615865</v>
      </c>
      <c r="K43" s="17">
        <f>IF(ISNUMBER(J43),J43*F43,"")</f>
        <v/>
      </c>
      <c r="L43" s="23">
        <f>IF(ISNUMBER(J43),K43-G43,"")</f>
        <v/>
      </c>
      <c r="M43" s="24">
        <f>IF(ISNUMBER(J43),L43/G43,"")</f>
        <v/>
      </c>
      <c r="N43" s="25">
        <f>IF(ISNUMBER(H43),H43-C43,"")</f>
        <v/>
      </c>
      <c r="O43" s="6" t="inlineStr">
        <is>
          <t>evening under 5% (watchdog)</t>
        </is>
      </c>
      <c r="P43" s="6" t="inlineStr">
        <is>
          <t>Closed</t>
        </is>
      </c>
    </row>
    <row r="44">
      <c r="A44" s="6" t="inlineStr">
        <is>
          <t>ADP</t>
        </is>
      </c>
      <c r="B44" s="6" t="inlineStr">
        <is>
          <t>Automatic Data Processing, Inc. Common Stock</t>
        </is>
      </c>
      <c r="C44" s="22" t="n">
        <v>46324.60613425926</v>
      </c>
      <c r="D44" s="22" t="n">
        <v>46324.39780092592</v>
      </c>
      <c r="E44" s="17" t="n">
        <v>288.99</v>
      </c>
      <c r="F44" s="16" t="n">
        <v>28.879753624</v>
      </c>
      <c r="G44" s="17">
        <f>E44*F44</f>
        <v/>
      </c>
      <c r="H44" s="22" t="n">
        <v>46324.8544212963</v>
      </c>
      <c r="I44" s="22" t="n">
        <v>46324.64608796296</v>
      </c>
      <c r="J44" s="17" t="n">
        <v>285.89</v>
      </c>
      <c r="K44" s="17">
        <f>IF(ISNUMBER(J44),J44*F44,"")</f>
        <v/>
      </c>
      <c r="L44" s="23">
        <f>IF(ISNUMBER(J44),K44-G44,"")</f>
        <v/>
      </c>
      <c r="M44" s="24">
        <f>IF(ISNUMBER(J44),L44/G44,"")</f>
        <v/>
      </c>
      <c r="N44" s="25">
        <f>IF(ISNUMBER(H44),H44-C44,"")</f>
        <v/>
      </c>
      <c r="O44" s="6" t="inlineStr">
        <is>
          <t>evening under 5% (watchdog)</t>
        </is>
      </c>
      <c r="P44" s="6" t="inlineStr">
        <is>
          <t>Closed</t>
        </is>
      </c>
    </row>
    <row r="45">
      <c r="A45" s="6" t="inlineStr">
        <is>
          <t>LLY</t>
        </is>
      </c>
      <c r="B45" s="6" t="inlineStr">
        <is>
          <t>Eli Lilly &amp; Co.</t>
        </is>
      </c>
      <c r="C45" s="22" t="n">
        <v>46324.60625</v>
      </c>
      <c r="D45" s="22" t="n">
        <v>46324.39791666667</v>
      </c>
      <c r="E45" s="17" t="n">
        <v>1382.881495</v>
      </c>
      <c r="F45" s="16" t="n">
        <v>6.035195373</v>
      </c>
      <c r="G45" s="17">
        <f>E45*F45</f>
        <v/>
      </c>
      <c r="H45" s="22" t="n">
        <v>46324.68523148148</v>
      </c>
      <c r="I45" s="22" t="n">
        <v>46324.47689814815</v>
      </c>
      <c r="J45" s="17" t="n">
        <v>1370.33</v>
      </c>
      <c r="K45" s="17">
        <f>IF(ISNUMBER(J45),J45*F45,"")</f>
        <v/>
      </c>
      <c r="L45" s="23">
        <f>IF(ISNUMBER(J45),K45-G45,"")</f>
        <v/>
      </c>
      <c r="M45" s="24">
        <f>IF(ISNUMBER(J45),L45/G45,"")</f>
        <v/>
      </c>
      <c r="N45" s="25">
        <f>IF(ISNUMBER(H45),H45-C45,"")</f>
        <v/>
      </c>
      <c r="O45" s="6" t="inlineStr">
        <is>
          <t>trailing stop</t>
        </is>
      </c>
      <c r="P45" s="6" t="inlineStr">
        <is>
          <t>Closed</t>
        </is>
      </c>
    </row>
    <row r="46">
      <c r="A46" s="6" t="inlineStr">
        <is>
          <t>IQV</t>
        </is>
      </c>
      <c r="B46" s="6" t="inlineStr">
        <is>
          <t>IQVIA Holdings Inc.</t>
        </is>
      </c>
      <c r="C46" s="22" t="n">
        <v>46324.60626157407</v>
      </c>
      <c r="D46" s="22" t="n">
        <v>46324.39792824074</v>
      </c>
      <c r="E46" s="17" t="n">
        <v>277.5</v>
      </c>
      <c r="F46" s="16" t="n">
        <v>30.075531531</v>
      </c>
      <c r="G46" s="17">
        <f>E46*F46</f>
        <v/>
      </c>
      <c r="H46" s="22" t="n">
        <v>46324.85445601852</v>
      </c>
      <c r="I46" s="22" t="n">
        <v>46324.64612268518</v>
      </c>
      <c r="J46" s="17" t="n">
        <v>273.44</v>
      </c>
      <c r="K46" s="17">
        <f>IF(ISNUMBER(J46),J46*F46,"")</f>
        <v/>
      </c>
      <c r="L46" s="23">
        <f>IF(ISNUMBER(J46),K46-G46,"")</f>
        <v/>
      </c>
      <c r="M46" s="24">
        <f>IF(ISNUMBER(J46),L46/G46,"")</f>
        <v/>
      </c>
      <c r="N46" s="25">
        <f>IF(ISNUMBER(H46),H46-C46,"")</f>
        <v/>
      </c>
      <c r="O46" s="6" t="inlineStr">
        <is>
          <t>evening under 5% (watchdog)</t>
        </is>
      </c>
      <c r="P46" s="6" t="inlineStr">
        <is>
          <t>Closed</t>
        </is>
      </c>
    </row>
    <row r="47">
      <c r="A47" s="6" t="inlineStr">
        <is>
          <t>ADI</t>
        </is>
      </c>
      <c r="B47" s="6" t="inlineStr">
        <is>
          <t>Analog Devices, Inc. Common Stock</t>
        </is>
      </c>
      <c r="C47" s="22" t="n">
        <v>46324.6062962963</v>
      </c>
      <c r="D47" s="22" t="n">
        <v>46324.39796296296</v>
      </c>
      <c r="E47" s="17" t="n">
        <v>427.19138</v>
      </c>
      <c r="F47" s="16" t="n">
        <v>19.536817436</v>
      </c>
      <c r="G47" s="17">
        <f>E47*F47</f>
        <v/>
      </c>
      <c r="H47" s="22" t="n">
        <v>46324.85439814815</v>
      </c>
      <c r="I47" s="22" t="n">
        <v>46324.64606481481</v>
      </c>
      <c r="J47" s="17" t="n">
        <v>431.109505</v>
      </c>
      <c r="K47" s="17">
        <f>IF(ISNUMBER(J47),J47*F47,"")</f>
        <v/>
      </c>
      <c r="L47" s="23">
        <f>IF(ISNUMBER(J47),K47-G47,"")</f>
        <v/>
      </c>
      <c r="M47" s="24">
        <f>IF(ISNUMBER(J47),L47/G47,"")</f>
        <v/>
      </c>
      <c r="N47" s="25">
        <f>IF(ISNUMBER(H47),H47-C47,"")</f>
        <v/>
      </c>
      <c r="O47" s="6" t="inlineStr">
        <is>
          <t>evening under 5% (watchdog)</t>
        </is>
      </c>
      <c r="P47" s="6" t="inlineStr">
        <is>
          <t>Closed</t>
        </is>
      </c>
    </row>
    <row r="48">
      <c r="A48" s="6" t="inlineStr">
        <is>
          <t>MPC</t>
        </is>
      </c>
      <c r="B48" s="6" t="inlineStr">
        <is>
          <t>MARATHON PETROLEUM CORPORATION</t>
        </is>
      </c>
      <c r="C48" s="22" t="n">
        <v>46324.60640046297</v>
      </c>
      <c r="D48" s="22" t="n">
        <v>46324.39806712963</v>
      </c>
      <c r="E48" s="17" t="n">
        <v>442.839476</v>
      </c>
      <c r="F48" s="16" t="n">
        <v>18.846467973</v>
      </c>
      <c r="G48" s="17">
        <f>E48*F48</f>
        <v/>
      </c>
      <c r="H48" s="22" t="n">
        <v>46324.6747337963</v>
      </c>
      <c r="I48" s="22" t="n">
        <v>46324.46640046296</v>
      </c>
      <c r="J48" s="17" t="n">
        <v>421.33</v>
      </c>
      <c r="K48" s="17">
        <f>IF(ISNUMBER(J48),J48*F48,"")</f>
        <v/>
      </c>
      <c r="L48" s="23">
        <f>IF(ISNUMBER(J48),K48-G48,"")</f>
        <v/>
      </c>
      <c r="M48" s="24">
        <f>IF(ISNUMBER(J48),L48/G48,"")</f>
        <v/>
      </c>
      <c r="N48" s="25">
        <f>IF(ISNUMBER(H48),H48-C48,"")</f>
        <v/>
      </c>
      <c r="O48" s="6" t="inlineStr">
        <is>
          <t>bad day</t>
        </is>
      </c>
      <c r="P48" s="6" t="inlineStr">
        <is>
          <t>Closed</t>
        </is>
      </c>
    </row>
    <row r="49">
      <c r="A49" s="6" t="inlineStr">
        <is>
          <t>ISRG</t>
        </is>
      </c>
      <c r="B49" s="6" t="inlineStr">
        <is>
          <t>Intuitive Surgical, Inc. Common Stock</t>
        </is>
      </c>
      <c r="C49" s="22" t="n">
        <v>46324.60655092593</v>
      </c>
      <c r="D49" s="22" t="n">
        <v>46324.39821759259</v>
      </c>
      <c r="E49" s="17" t="n">
        <v>447.607374</v>
      </c>
      <c r="F49" s="16" t="n">
        <v>18.645716072</v>
      </c>
      <c r="G49" s="17">
        <f>E49*F49</f>
        <v/>
      </c>
      <c r="H49" s="22" t="n">
        <v>46324.8544212963</v>
      </c>
      <c r="I49" s="22" t="n">
        <v>46324.64608796296</v>
      </c>
      <c r="J49" s="17" t="n">
        <v>447.605811</v>
      </c>
      <c r="K49" s="17">
        <f>IF(ISNUMBER(J49),J49*F49,"")</f>
        <v/>
      </c>
      <c r="L49" s="23">
        <f>IF(ISNUMBER(J49),K49-G49,"")</f>
        <v/>
      </c>
      <c r="M49" s="24">
        <f>IF(ISNUMBER(J49),L49/G49,"")</f>
        <v/>
      </c>
      <c r="N49" s="25">
        <f>IF(ISNUMBER(H49),H49-C49,"")</f>
        <v/>
      </c>
      <c r="O49" s="6" t="inlineStr">
        <is>
          <t>evening under 5% (watchdog)</t>
        </is>
      </c>
      <c r="P49" s="6" t="inlineStr">
        <is>
          <t>Closed</t>
        </is>
      </c>
    </row>
    <row r="50">
      <c r="A50" s="6" t="inlineStr">
        <is>
          <t>WTW</t>
        </is>
      </c>
      <c r="B50" s="6" t="inlineStr">
        <is>
          <t>Willis Towers Watson Public Limited Company Ordinary Shares</t>
        </is>
      </c>
      <c r="C50" s="22" t="n">
        <v>46324.60677083334</v>
      </c>
      <c r="D50" s="22" t="n">
        <v>46324.3984375</v>
      </c>
      <c r="E50" s="17" t="n">
        <v>320.034243</v>
      </c>
      <c r="F50" s="16" t="n">
        <v>26.078334421</v>
      </c>
      <c r="G50" s="17">
        <f>E50*F50</f>
        <v/>
      </c>
      <c r="H50" s="22" t="n">
        <v>46324.68523148148</v>
      </c>
      <c r="I50" s="22" t="n">
        <v>46324.47689814815</v>
      </c>
      <c r="J50" s="17" t="n">
        <v>313.76</v>
      </c>
      <c r="K50" s="17">
        <f>IF(ISNUMBER(J50),J50*F50,"")</f>
        <v/>
      </c>
      <c r="L50" s="23">
        <f>IF(ISNUMBER(J50),K50-G50,"")</f>
        <v/>
      </c>
      <c r="M50" s="24">
        <f>IF(ISNUMBER(J50),L50/G50,"")</f>
        <v/>
      </c>
      <c r="N50" s="25">
        <f>IF(ISNUMBER(H50),H50-C50,"")</f>
        <v/>
      </c>
      <c r="O50" s="6" t="inlineStr">
        <is>
          <t>trailing stop</t>
        </is>
      </c>
      <c r="P50" s="6" t="inlineStr">
        <is>
          <t>Closed</t>
        </is>
      </c>
    </row>
    <row r="51">
      <c r="A51" s="6" t="inlineStr">
        <is>
          <t>TMO</t>
        </is>
      </c>
      <c r="B51" s="6" t="inlineStr">
        <is>
          <t>Thermo Fisher Scientific, Inc.</t>
        </is>
      </c>
      <c r="C51" s="22" t="n">
        <v>46324.60688657407</v>
      </c>
      <c r="D51" s="22" t="n">
        <v>46324.39855324074</v>
      </c>
      <c r="E51" s="17" t="n">
        <v>704.202253</v>
      </c>
      <c r="F51" s="16" t="n">
        <v>11.851651941</v>
      </c>
      <c r="G51" s="17">
        <f>E51*F51</f>
        <v/>
      </c>
      <c r="H51" s="22" t="n">
        <v>46324.78953703704</v>
      </c>
      <c r="I51" s="22" t="n">
        <v>46324.5812037037</v>
      </c>
      <c r="J51" s="17" t="n">
        <v>704.25</v>
      </c>
      <c r="K51" s="17">
        <f>IF(ISNUMBER(J51),J51*F51,"")</f>
        <v/>
      </c>
      <c r="L51" s="23">
        <f>IF(ISNUMBER(J51),K51-G51,"")</f>
        <v/>
      </c>
      <c r="M51" s="24">
        <f>IF(ISNUMBER(J51),L51/G51,"")</f>
        <v/>
      </c>
      <c r="N51" s="25">
        <f>IF(ISNUMBER(H51),H51-C51,"")</f>
        <v/>
      </c>
      <c r="O51" s="6" t="inlineStr">
        <is>
          <t>stop-loss (Alpaca order)</t>
        </is>
      </c>
      <c r="P51" s="6" t="inlineStr">
        <is>
          <t>Closed</t>
        </is>
      </c>
    </row>
    <row r="52">
      <c r="A52" s="6" t="inlineStr">
        <is>
          <t>MCK</t>
        </is>
      </c>
      <c r="B52" s="6" t="inlineStr">
        <is>
          <t>McKesson Corporation</t>
        </is>
      </c>
      <c r="C52" s="22" t="n">
        <v>46324.60704861111</v>
      </c>
      <c r="D52" s="22" t="n">
        <v>46324.39871527778</v>
      </c>
      <c r="E52" s="17" t="n">
        <v>975.351467</v>
      </c>
      <c r="F52" s="16" t="n">
        <v>8.556874402</v>
      </c>
      <c r="G52" s="17">
        <f>E52*F52</f>
        <v/>
      </c>
      <c r="H52" s="22" t="n">
        <v>46324.85450231482</v>
      </c>
      <c r="I52" s="22" t="n">
        <v>46324.64616898148</v>
      </c>
      <c r="J52" s="17" t="n">
        <v>972.61</v>
      </c>
      <c r="K52" s="17">
        <f>IF(ISNUMBER(J52),J52*F52,"")</f>
        <v/>
      </c>
      <c r="L52" s="23">
        <f>IF(ISNUMBER(J52),K52-G52,"")</f>
        <v/>
      </c>
      <c r="M52" s="24">
        <f>IF(ISNUMBER(J52),L52/G52,"")</f>
        <v/>
      </c>
      <c r="N52" s="25">
        <f>IF(ISNUMBER(H52),H52-C52,"")</f>
        <v/>
      </c>
      <c r="O52" s="6" t="inlineStr">
        <is>
          <t>evening under 5% (watchdog)</t>
        </is>
      </c>
      <c r="P52" s="6" t="inlineStr">
        <is>
          <t>Closed</t>
        </is>
      </c>
    </row>
    <row r="53">
      <c r="A53" s="6" t="inlineStr">
        <is>
          <t>NTRA</t>
        </is>
      </c>
      <c r="B53" s="6" t="inlineStr">
        <is>
          <t>Natera, Inc. Common Stock</t>
        </is>
      </c>
      <c r="C53" s="22" t="n">
        <v>46324.60716435185</v>
      </c>
      <c r="D53" s="22" t="n">
        <v>46324.39883101852</v>
      </c>
      <c r="E53" s="17" t="n">
        <v>424.844876</v>
      </c>
      <c r="F53" s="16" t="n">
        <v>19.644723215</v>
      </c>
      <c r="G53" s="17">
        <f>E53*F53</f>
        <v/>
      </c>
      <c r="H53" s="22" t="n">
        <v>46324.85451388889</v>
      </c>
      <c r="I53" s="22" t="n">
        <v>46324.64618055556</v>
      </c>
      <c r="J53" s="17" t="n">
        <v>430.31</v>
      </c>
      <c r="K53" s="17">
        <f>IF(ISNUMBER(J53),J53*F53,"")</f>
        <v/>
      </c>
      <c r="L53" s="23">
        <f>IF(ISNUMBER(J53),K53-G53,"")</f>
        <v/>
      </c>
      <c r="M53" s="24">
        <f>IF(ISNUMBER(J53),L53/G53,"")</f>
        <v/>
      </c>
      <c r="N53" s="25">
        <f>IF(ISNUMBER(H53),H53-C53,"")</f>
        <v/>
      </c>
      <c r="O53" s="6" t="inlineStr">
        <is>
          <t>evening under 5% (watchdog)</t>
        </is>
      </c>
      <c r="P53" s="6" t="inlineStr">
        <is>
          <t>Closed</t>
        </is>
      </c>
    </row>
    <row r="54">
      <c r="A54" s="6" t="inlineStr">
        <is>
          <t>MA</t>
        </is>
      </c>
      <c r="B54" s="6" t="inlineStr">
        <is>
          <t>Mastercard Incorporated</t>
        </is>
      </c>
      <c r="C54" s="22" t="n">
        <v>46324.60722222222</v>
      </c>
      <c r="D54" s="22" t="n">
        <v>46324.39888888889</v>
      </c>
      <c r="E54" s="17" t="n">
        <v>639.369739</v>
      </c>
      <c r="F54" s="16" t="n">
        <v>13.053417297</v>
      </c>
      <c r="G54" s="17">
        <f>E54*F54</f>
        <v/>
      </c>
      <c r="H54" s="22" t="n">
        <v>46324.85445601852</v>
      </c>
      <c r="I54" s="22" t="n">
        <v>46324.64612268518</v>
      </c>
      <c r="J54" s="17" t="n">
        <v>637</v>
      </c>
      <c r="K54" s="17">
        <f>IF(ISNUMBER(J54),J54*F54,"")</f>
        <v/>
      </c>
      <c r="L54" s="23">
        <f>IF(ISNUMBER(J54),K54-G54,"")</f>
        <v/>
      </c>
      <c r="M54" s="24">
        <f>IF(ISNUMBER(J54),L54/G54,"")</f>
        <v/>
      </c>
      <c r="N54" s="25">
        <f>IF(ISNUMBER(H54),H54-C54,"")</f>
        <v/>
      </c>
      <c r="O54" s="6" t="inlineStr">
        <is>
          <t>evening under 5% (watchdog)</t>
        </is>
      </c>
      <c r="P54" s="6" t="inlineStr">
        <is>
          <t>Closed</t>
        </is>
      </c>
    </row>
    <row r="55">
      <c r="A55" s="6" t="inlineStr">
        <is>
          <t>VEEV</t>
        </is>
      </c>
      <c r="B55" s="6" t="inlineStr">
        <is>
          <t>Veeva Systems Inc.</t>
        </is>
      </c>
      <c r="C55" s="22" t="n">
        <v>46324.67833333334</v>
      </c>
      <c r="D55" s="22" t="n">
        <v>46324.47</v>
      </c>
      <c r="E55" s="17" t="n">
        <v>311.71</v>
      </c>
      <c r="F55" s="16" t="n">
        <v>2.132719514</v>
      </c>
      <c r="G55" s="17">
        <f>E55*F55</f>
        <v/>
      </c>
      <c r="H55" s="22" t="n">
        <v>46324.85456018519</v>
      </c>
      <c r="I55" s="22" t="n">
        <v>46324.64622685185</v>
      </c>
      <c r="J55" s="17" t="n">
        <v>310.44</v>
      </c>
      <c r="K55" s="17">
        <f>IF(ISNUMBER(J55),J55*F55,"")</f>
        <v/>
      </c>
      <c r="L55" s="23">
        <f>IF(ISNUMBER(J55),K55-G55,"")</f>
        <v/>
      </c>
      <c r="M55" s="24">
        <f>IF(ISNUMBER(J55),L55/G55,"")</f>
        <v/>
      </c>
      <c r="N55" s="25">
        <f>IF(ISNUMBER(H55),H55-C55,"")</f>
        <v/>
      </c>
      <c r="O55" s="6" t="inlineStr">
        <is>
          <t>evening under 5% (watchdog)</t>
        </is>
      </c>
      <c r="P55" s="6" t="inlineStr">
        <is>
          <t>Closed</t>
        </is>
      </c>
    </row>
    <row r="56">
      <c r="A56" s="6" t="inlineStr">
        <is>
          <t>ABBV</t>
        </is>
      </c>
      <c r="B56" s="6" t="inlineStr">
        <is>
          <t>ABBVIE INC.</t>
        </is>
      </c>
      <c r="C56" s="22" t="n">
        <v>46324.67834490741</v>
      </c>
      <c r="D56" s="22" t="n">
        <v>46324.47001157407</v>
      </c>
      <c r="E56" s="17" t="n">
        <v>290.24</v>
      </c>
      <c r="F56" s="16" t="n">
        <v>2.290483737</v>
      </c>
      <c r="G56" s="17">
        <f>E56*F56</f>
        <v/>
      </c>
      <c r="H56" s="22" t="n">
        <v>46324.8543287037</v>
      </c>
      <c r="I56" s="22" t="n">
        <v>46324.64599537037</v>
      </c>
      <c r="J56" s="17" t="n">
        <v>289.706195</v>
      </c>
      <c r="K56" s="17">
        <f>IF(ISNUMBER(J56),J56*F56,"")</f>
        <v/>
      </c>
      <c r="L56" s="23">
        <f>IF(ISNUMBER(J56),K56-G56,"")</f>
        <v/>
      </c>
      <c r="M56" s="24">
        <f>IF(ISNUMBER(J56),L56/G56,"")</f>
        <v/>
      </c>
      <c r="N56" s="25">
        <f>IF(ISNUMBER(H56),H56-C56,"")</f>
        <v/>
      </c>
      <c r="O56" s="6" t="inlineStr">
        <is>
          <t>evening under 5% (watchdog)</t>
        </is>
      </c>
      <c r="P56" s="6" t="inlineStr">
        <is>
          <t>Closed</t>
        </is>
      </c>
    </row>
    <row r="57">
      <c r="A57" s="6" t="inlineStr">
        <is>
          <t>AVTR</t>
        </is>
      </c>
      <c r="B57" s="6" t="inlineStr">
        <is>
          <t>Avantor, Inc.</t>
        </is>
      </c>
      <c r="C57" s="22" t="n">
        <v>46324.67834490741</v>
      </c>
      <c r="D57" s="22" t="n">
        <v>46324.47001157407</v>
      </c>
      <c r="E57" s="17" t="n">
        <v>16.49</v>
      </c>
      <c r="F57" s="16" t="n">
        <v>40.314736203</v>
      </c>
      <c r="G57" s="17">
        <f>E57*F57</f>
        <v/>
      </c>
      <c r="H57" s="22" t="n">
        <v>46324.78903935185</v>
      </c>
      <c r="I57" s="22" t="n">
        <v>46324.58070601852</v>
      </c>
      <c r="J57" s="17" t="n">
        <v>16.54</v>
      </c>
      <c r="K57" s="17">
        <f>IF(ISNUMBER(J57),J57*F57,"")</f>
        <v/>
      </c>
      <c r="L57" s="23">
        <f>IF(ISNUMBER(J57),K57-G57,"")</f>
        <v/>
      </c>
      <c r="M57" s="24">
        <f>IF(ISNUMBER(J57),L57/G57,"")</f>
        <v/>
      </c>
      <c r="N57" s="25">
        <f>IF(ISNUMBER(H57),H57-C57,"")</f>
        <v/>
      </c>
      <c r="O57" s="6" t="inlineStr">
        <is>
          <t>stop-loss (Alpaca order)</t>
        </is>
      </c>
      <c r="P57" s="6" t="inlineStr">
        <is>
          <t>Closed</t>
        </is>
      </c>
    </row>
    <row r="58">
      <c r="A58" s="6" t="inlineStr">
        <is>
          <t>XOM</t>
        </is>
      </c>
      <c r="B58" s="6" t="inlineStr">
        <is>
          <t>ExxonMobil Holdings Corporation</t>
        </is>
      </c>
      <c r="C58" s="22" t="n">
        <v>46324.67834490741</v>
      </c>
      <c r="D58" s="22" t="n">
        <v>46324.47001157407</v>
      </c>
      <c r="E58" s="17" t="n">
        <v>181.72</v>
      </c>
      <c r="F58" s="16" t="n">
        <v>1.829160246</v>
      </c>
      <c r="G58" s="17">
        <f>E58*F58</f>
        <v/>
      </c>
      <c r="H58" s="22" t="n">
        <v>46324.71079861111</v>
      </c>
      <c r="I58" s="22" t="n">
        <v>46324.50246527778</v>
      </c>
      <c r="J58" s="17" t="n">
        <v>182.01</v>
      </c>
      <c r="K58" s="17">
        <f>IF(ISNUMBER(J58),J58*F58,"")</f>
        <v/>
      </c>
      <c r="L58" s="23">
        <f>IF(ISNUMBER(J58),K58-G58,"")</f>
        <v/>
      </c>
      <c r="M58" s="24">
        <f>IF(ISNUMBER(J58),L58/G58,"")</f>
        <v/>
      </c>
      <c r="N58" s="25">
        <f>IF(ISNUMBER(H58),H58-C58,"")</f>
        <v/>
      </c>
      <c r="O58" s="6" t="inlineStr">
        <is>
          <t>3 green: sell half</t>
        </is>
      </c>
      <c r="P58" s="6" t="inlineStr">
        <is>
          <t>Closed</t>
        </is>
      </c>
    </row>
    <row r="59">
      <c r="A59" s="6" t="inlineStr">
        <is>
          <t>XOM</t>
        </is>
      </c>
      <c r="B59" s="6" t="inlineStr">
        <is>
          <t>ExxonMobil Holdings Corporation</t>
        </is>
      </c>
      <c r="C59" s="22" t="n">
        <v>46324.67834490741</v>
      </c>
      <c r="D59" s="22" t="n">
        <v>46324.47001157407</v>
      </c>
      <c r="E59" s="17" t="n">
        <v>181.72</v>
      </c>
      <c r="F59" s="16" t="n">
        <v>1.829160247</v>
      </c>
      <c r="G59" s="17">
        <f>E59*F59</f>
        <v/>
      </c>
      <c r="H59" s="22" t="n">
        <v>46324.84719907407</v>
      </c>
      <c r="I59" s="22" t="n">
        <v>46324.63886574074</v>
      </c>
      <c r="J59" s="17" t="n">
        <v>182.77</v>
      </c>
      <c r="K59" s="17">
        <f>IF(ISNUMBER(J59),J59*F59,"")</f>
        <v/>
      </c>
      <c r="L59" s="23">
        <f>IF(ISNUMBER(J59),K59-G59,"")</f>
        <v/>
      </c>
      <c r="M59" s="24">
        <f>IF(ISNUMBER(J59),L59/G59,"")</f>
        <v/>
      </c>
      <c r="N59" s="25">
        <f>IF(ISNUMBER(H59),H59-C59,"")</f>
        <v/>
      </c>
      <c r="O59" s="6" t="inlineStr">
        <is>
          <t>2 or fewer green</t>
        </is>
      </c>
      <c r="P59" s="6" t="inlineStr">
        <is>
          <t>Closed</t>
        </is>
      </c>
    </row>
    <row r="60">
      <c r="A60" s="6" t="inlineStr">
        <is>
          <t>SHEL</t>
        </is>
      </c>
      <c r="B60" s="6" t="inlineStr">
        <is>
          <t>Shell plc American Depositary Shares (Each represents two Ordinary shares)</t>
        </is>
      </c>
      <c r="C60" s="22" t="n">
        <v>46324.67835648148</v>
      </c>
      <c r="D60" s="22" t="n">
        <v>46324.47002314815</v>
      </c>
      <c r="E60" s="17" t="n">
        <v>107.49</v>
      </c>
      <c r="F60" s="16" t="n">
        <v>6.184668341</v>
      </c>
      <c r="G60" s="17">
        <f>E60*F60</f>
        <v/>
      </c>
      <c r="H60" s="22" t="n">
        <v>46324.85454861111</v>
      </c>
      <c r="I60" s="22" t="n">
        <v>46324.64621527777</v>
      </c>
      <c r="J60" s="17" t="n">
        <v>107.668085</v>
      </c>
      <c r="K60" s="17">
        <f>IF(ISNUMBER(J60),J60*F60,"")</f>
        <v/>
      </c>
      <c r="L60" s="23">
        <f>IF(ISNUMBER(J60),K60-G60,"")</f>
        <v/>
      </c>
      <c r="M60" s="24">
        <f>IF(ISNUMBER(J60),L60/G60,"")</f>
        <v/>
      </c>
      <c r="N60" s="25">
        <f>IF(ISNUMBER(H60),H60-C60,"")</f>
        <v/>
      </c>
      <c r="O60" s="6" t="inlineStr">
        <is>
          <t>evening under 5% (watchdog)</t>
        </is>
      </c>
      <c r="P60" s="6" t="inlineStr">
        <is>
          <t>Closed</t>
        </is>
      </c>
    </row>
    <row r="61">
      <c r="A61" s="6" t="inlineStr">
        <is>
          <t>DUK</t>
        </is>
      </c>
      <c r="B61" s="6" t="inlineStr">
        <is>
          <t>Duke Energy Corporation</t>
        </is>
      </c>
      <c r="C61" s="22" t="n">
        <v>46324.67835648148</v>
      </c>
      <c r="D61" s="22" t="n">
        <v>46324.47002314815</v>
      </c>
      <c r="E61" s="17" t="n">
        <v>125.74</v>
      </c>
      <c r="F61" s="16" t="n">
        <v>5.287020836</v>
      </c>
      <c r="G61" s="17">
        <f>E61*F61</f>
        <v/>
      </c>
      <c r="H61" s="22" t="n">
        <v>46324.85438657407</v>
      </c>
      <c r="I61" s="22" t="n">
        <v>46324.64605324074</v>
      </c>
      <c r="J61" s="17" t="n">
        <v>125.812435</v>
      </c>
      <c r="K61" s="17">
        <f>IF(ISNUMBER(J61),J61*F61,"")</f>
        <v/>
      </c>
      <c r="L61" s="23">
        <f>IF(ISNUMBER(J61),K61-G61,"")</f>
        <v/>
      </c>
      <c r="M61" s="24">
        <f>IF(ISNUMBER(J61),L61/G61,"")</f>
        <v/>
      </c>
      <c r="N61" s="25">
        <f>IF(ISNUMBER(H61),H61-C61,"")</f>
        <v/>
      </c>
      <c r="O61" s="6" t="inlineStr">
        <is>
          <t>evening under 5% (watchdog)</t>
        </is>
      </c>
      <c r="P61" s="6" t="inlineStr">
        <is>
          <t>Closed</t>
        </is>
      </c>
    </row>
    <row r="62">
      <c r="A62" s="6" t="inlineStr">
        <is>
          <t>DT</t>
        </is>
      </c>
      <c r="B62" s="6" t="inlineStr">
        <is>
          <t>Dynatrace, Inc.</t>
        </is>
      </c>
      <c r="C62" s="22" t="n">
        <v>46324.67835648148</v>
      </c>
      <c r="D62" s="22" t="n">
        <v>46324.47002314815</v>
      </c>
      <c r="E62" s="17" t="n">
        <v>60.75</v>
      </c>
      <c r="F62" s="16" t="n">
        <v>10.943045267</v>
      </c>
      <c r="G62" s="17">
        <f>E62*F62</f>
        <v/>
      </c>
      <c r="H62" s="22" t="n">
        <v>46324.85438657407</v>
      </c>
      <c r="I62" s="22" t="n">
        <v>46324.64605324074</v>
      </c>
      <c r="J62" s="17" t="n">
        <v>60.63</v>
      </c>
      <c r="K62" s="17">
        <f>IF(ISNUMBER(J62),J62*F62,"")</f>
        <v/>
      </c>
      <c r="L62" s="23">
        <f>IF(ISNUMBER(J62),K62-G62,"")</f>
        <v/>
      </c>
      <c r="M62" s="24">
        <f>IF(ISNUMBER(J62),L62/G62,"")</f>
        <v/>
      </c>
      <c r="N62" s="25">
        <f>IF(ISNUMBER(H62),H62-C62,"")</f>
        <v/>
      </c>
      <c r="O62" s="6" t="inlineStr">
        <is>
          <t>evening under 5% (watchdog)</t>
        </is>
      </c>
      <c r="P62" s="6" t="inlineStr">
        <is>
          <t>Closed</t>
        </is>
      </c>
    </row>
    <row r="63">
      <c r="A63" s="6" t="inlineStr">
        <is>
          <t>KR</t>
        </is>
      </c>
      <c r="B63" s="6" t="inlineStr">
        <is>
          <t>The Kroger Co.</t>
        </is>
      </c>
      <c r="C63" s="22" t="n">
        <v>46324.67835648148</v>
      </c>
      <c r="D63" s="22" t="n">
        <v>46324.47002314815</v>
      </c>
      <c r="E63" s="17" t="n">
        <v>65.48</v>
      </c>
      <c r="F63" s="16" t="n">
        <v>10.152565668</v>
      </c>
      <c r="G63" s="17">
        <f>E63*F63</f>
        <v/>
      </c>
      <c r="H63" s="22" t="n">
        <v>46324.85443287037</v>
      </c>
      <c r="I63" s="22" t="n">
        <v>46324.64609953704</v>
      </c>
      <c r="J63" s="17" t="n">
        <v>65.98</v>
      </c>
      <c r="K63" s="17">
        <f>IF(ISNUMBER(J63),J63*F63,"")</f>
        <v/>
      </c>
      <c r="L63" s="23">
        <f>IF(ISNUMBER(J63),K63-G63,"")</f>
        <v/>
      </c>
      <c r="M63" s="24">
        <f>IF(ISNUMBER(J63),L63/G63,"")</f>
        <v/>
      </c>
      <c r="N63" s="25">
        <f>IF(ISNUMBER(H63),H63-C63,"")</f>
        <v/>
      </c>
      <c r="O63" s="6" t="inlineStr">
        <is>
          <t>evening under 5% (watchdog)</t>
        </is>
      </c>
      <c r="P63" s="6" t="inlineStr">
        <is>
          <t>Closed</t>
        </is>
      </c>
    </row>
    <row r="64">
      <c r="A64" s="6" t="inlineStr">
        <is>
          <t>ACN</t>
        </is>
      </c>
      <c r="B64" s="6" t="inlineStr">
        <is>
          <t>Accenture PLC</t>
        </is>
      </c>
      <c r="C64" s="22" t="n">
        <v>46324.67835648148</v>
      </c>
      <c r="D64" s="22" t="n">
        <v>46324.47002314815</v>
      </c>
      <c r="E64" s="17" t="n">
        <v>243.84</v>
      </c>
      <c r="F64" s="16" t="n">
        <v>1.363168471</v>
      </c>
      <c r="G64" s="17">
        <f>E64*F64</f>
        <v/>
      </c>
      <c r="H64" s="22" t="n">
        <v>46324.75462962963</v>
      </c>
      <c r="I64" s="22" t="n">
        <v>46324.5462962963</v>
      </c>
      <c r="J64" s="17" t="n">
        <v>245.55</v>
      </c>
      <c r="K64" s="17">
        <f>IF(ISNUMBER(J64),J64*F64,"")</f>
        <v/>
      </c>
      <c r="L64" s="23">
        <f>IF(ISNUMBER(J64),K64-G64,"")</f>
        <v/>
      </c>
      <c r="M64" s="24">
        <f>IF(ISNUMBER(J64),L64/G64,"")</f>
        <v/>
      </c>
      <c r="N64" s="25">
        <f>IF(ISNUMBER(H64),H64-C64,"")</f>
        <v/>
      </c>
      <c r="O64" s="6" t="inlineStr">
        <is>
          <t>3 green: sell half</t>
        </is>
      </c>
      <c r="P64" s="6" t="inlineStr">
        <is>
          <t>Closed</t>
        </is>
      </c>
    </row>
    <row r="65">
      <c r="A65" s="6" t="inlineStr">
        <is>
          <t>ACN</t>
        </is>
      </c>
      <c r="B65" s="6" t="inlineStr">
        <is>
          <t>Accenture PLC</t>
        </is>
      </c>
      <c r="C65" s="22" t="n">
        <v>46324.67835648148</v>
      </c>
      <c r="D65" s="22" t="n">
        <v>46324.47002314815</v>
      </c>
      <c r="E65" s="17" t="n">
        <v>243.84</v>
      </c>
      <c r="F65" s="16" t="n">
        <v>1.363168471</v>
      </c>
      <c r="G65" s="17">
        <f>E65*F65</f>
        <v/>
      </c>
      <c r="H65" s="22" t="n">
        <v>46324.85434027778</v>
      </c>
      <c r="I65" s="22" t="n">
        <v>46324.64600694444</v>
      </c>
      <c r="J65" s="17" t="n">
        <v>245.64</v>
      </c>
      <c r="K65" s="17">
        <f>IF(ISNUMBER(J65),J65*F65,"")</f>
        <v/>
      </c>
      <c r="L65" s="23">
        <f>IF(ISNUMBER(J65),K65-G65,"")</f>
        <v/>
      </c>
      <c r="M65" s="24">
        <f>IF(ISNUMBER(J65),L65/G65,"")</f>
        <v/>
      </c>
      <c r="N65" s="25">
        <f>IF(ISNUMBER(H65),H65-C65,"")</f>
        <v/>
      </c>
      <c r="O65" s="6" t="inlineStr">
        <is>
          <t>evening under 5% (watchdog)</t>
        </is>
      </c>
      <c r="P65" s="6" t="inlineStr">
        <is>
          <t>Closed</t>
        </is>
      </c>
    </row>
    <row r="66">
      <c r="A66" s="6" t="inlineStr">
        <is>
          <t>ILMN</t>
        </is>
      </c>
      <c r="B66" s="6" t="inlineStr">
        <is>
          <t>Illumina, Inc. Common Stock</t>
        </is>
      </c>
      <c r="C66" s="22" t="n">
        <v>46324.67835648148</v>
      </c>
      <c r="D66" s="22" t="n">
        <v>46324.47002314815</v>
      </c>
      <c r="E66" s="17" t="n">
        <v>288.56</v>
      </c>
      <c r="F66" s="16" t="n">
        <v>2.303818963</v>
      </c>
      <c r="G66" s="17">
        <f>E66*F66</f>
        <v/>
      </c>
      <c r="H66" s="22" t="n">
        <v>46324.76877314815</v>
      </c>
      <c r="I66" s="22" t="n">
        <v>46324.56043981481</v>
      </c>
      <c r="J66" s="17" t="n">
        <v>289.14</v>
      </c>
      <c r="K66" s="17">
        <f>IF(ISNUMBER(J66),J66*F66,"")</f>
        <v/>
      </c>
      <c r="L66" s="23">
        <f>IF(ISNUMBER(J66),K66-G66,"")</f>
        <v/>
      </c>
      <c r="M66" s="24">
        <f>IF(ISNUMBER(J66),L66/G66,"")</f>
        <v/>
      </c>
      <c r="N66" s="25">
        <f>IF(ISNUMBER(H66),H66-C66,"")</f>
        <v/>
      </c>
      <c r="O66" s="6" t="inlineStr">
        <is>
          <t>stop-loss (Alpaca order)</t>
        </is>
      </c>
      <c r="P66" s="6" t="inlineStr">
        <is>
          <t>Closed</t>
        </is>
      </c>
    </row>
    <row r="67">
      <c r="A67" s="6" t="inlineStr">
        <is>
          <t>LIN</t>
        </is>
      </c>
      <c r="B67" s="6" t="inlineStr">
        <is>
          <t>Linde plc Ordinary Shares</t>
        </is>
      </c>
      <c r="C67" s="22" t="n">
        <v>46324.67836805555</v>
      </c>
      <c r="D67" s="22" t="n">
        <v>46324.47003472222</v>
      </c>
      <c r="E67" s="17" t="n">
        <v>501.46</v>
      </c>
      <c r="F67" s="16" t="n">
        <v>0.662854464</v>
      </c>
      <c r="G67" s="17">
        <f>E67*F67</f>
        <v/>
      </c>
      <c r="H67" s="22" t="n">
        <v>46324.81153935185</v>
      </c>
      <c r="I67" s="22" t="n">
        <v>46324.60320601852</v>
      </c>
      <c r="J67" s="17" t="n">
        <v>502.818</v>
      </c>
      <c r="K67" s="17">
        <f>IF(ISNUMBER(J67),J67*F67,"")</f>
        <v/>
      </c>
      <c r="L67" s="23">
        <f>IF(ISNUMBER(J67),K67-G67,"")</f>
        <v/>
      </c>
      <c r="M67" s="24">
        <f>IF(ISNUMBER(J67),L67/G67,"")</f>
        <v/>
      </c>
      <c r="N67" s="25">
        <f>IF(ISNUMBER(H67),H67-C67,"")</f>
        <v/>
      </c>
      <c r="O67" s="6" t="inlineStr">
        <is>
          <t>3 green: sell half</t>
        </is>
      </c>
      <c r="P67" s="6" t="inlineStr">
        <is>
          <t>Closed</t>
        </is>
      </c>
    </row>
    <row r="68">
      <c r="A68" s="6" t="inlineStr">
        <is>
          <t>LIN</t>
        </is>
      </c>
      <c r="B68" s="6" t="inlineStr">
        <is>
          <t>Linde plc Ordinary Shares</t>
        </is>
      </c>
      <c r="C68" s="22" t="n">
        <v>46324.67836805555</v>
      </c>
      <c r="D68" s="22" t="n">
        <v>46324.47003472222</v>
      </c>
      <c r="E68" s="17" t="n">
        <v>501.46</v>
      </c>
      <c r="F68" s="16" t="n">
        <v>0.6628544649999999</v>
      </c>
      <c r="G68" s="17">
        <f>E68*F68</f>
        <v/>
      </c>
      <c r="H68" s="22" t="n">
        <v>46324.85443287037</v>
      </c>
      <c r="I68" s="22" t="n">
        <v>46324.64609953704</v>
      </c>
      <c r="J68" s="17" t="n">
        <v>502.036</v>
      </c>
      <c r="K68" s="17">
        <f>IF(ISNUMBER(J68),J68*F68,"")</f>
        <v/>
      </c>
      <c r="L68" s="23">
        <f>IF(ISNUMBER(J68),K68-G68,"")</f>
        <v/>
      </c>
      <c r="M68" s="24">
        <f>IF(ISNUMBER(J68),L68/G68,"")</f>
        <v/>
      </c>
      <c r="N68" s="25">
        <f>IF(ISNUMBER(H68),H68-C68,"")</f>
        <v/>
      </c>
      <c r="O68" s="6" t="inlineStr">
        <is>
          <t>evening under 5% (watchdog)</t>
        </is>
      </c>
      <c r="P68" s="6" t="inlineStr">
        <is>
          <t>Closed</t>
        </is>
      </c>
    </row>
    <row r="69">
      <c r="A69" s="6" t="inlineStr">
        <is>
          <t>EQNR</t>
        </is>
      </c>
      <c r="B69" s="6" t="inlineStr">
        <is>
          <t>Equinor ASA American Depositary Shares (Each Representing One Ordinary Share, nominal value NOK 2.50 per share)</t>
        </is>
      </c>
      <c r="C69" s="22" t="n">
        <v>46324.67839120371</v>
      </c>
      <c r="D69" s="22" t="n">
        <v>46324.47005787037</v>
      </c>
      <c r="E69" s="17" t="n">
        <v>47.09</v>
      </c>
      <c r="F69" s="16" t="n">
        <v>14.117434699</v>
      </c>
      <c r="G69" s="17">
        <f>E69*F69</f>
        <v/>
      </c>
      <c r="H69" s="22" t="n">
        <v>46324.85438657407</v>
      </c>
      <c r="I69" s="22" t="n">
        <v>46324.64605324074</v>
      </c>
      <c r="J69" s="17" t="n">
        <v>47.39</v>
      </c>
      <c r="K69" s="17">
        <f>IF(ISNUMBER(J69),J69*F69,"")</f>
        <v/>
      </c>
      <c r="L69" s="23">
        <f>IF(ISNUMBER(J69),K69-G69,"")</f>
        <v/>
      </c>
      <c r="M69" s="24">
        <f>IF(ISNUMBER(J69),L69/G69,"")</f>
        <v/>
      </c>
      <c r="N69" s="25">
        <f>IF(ISNUMBER(H69),H69-C69,"")</f>
        <v/>
      </c>
      <c r="O69" s="6" t="inlineStr">
        <is>
          <t>evening under 5% (watchdog)</t>
        </is>
      </c>
      <c r="P69" s="6" t="inlineStr">
        <is>
          <t>Closed</t>
        </is>
      </c>
    </row>
    <row r="70">
      <c r="A70" s="6" t="inlineStr">
        <is>
          <t>SO</t>
        </is>
      </c>
      <c r="B70" s="6" t="inlineStr">
        <is>
          <t>The Southern Company</t>
        </is>
      </c>
      <c r="C70" s="22" t="n">
        <v>46324.68998842593</v>
      </c>
      <c r="D70" s="22" t="n">
        <v>46324.48165509259</v>
      </c>
      <c r="E70" s="17" t="n">
        <v>92.97</v>
      </c>
      <c r="F70" s="16" t="n">
        <v>14.744111003</v>
      </c>
      <c r="G70" s="17">
        <f>E70*F70</f>
        <v/>
      </c>
      <c r="H70" s="22" t="n">
        <v>46324.85454861111</v>
      </c>
      <c r="I70" s="22" t="n">
        <v>46324.64621527777</v>
      </c>
      <c r="J70" s="17" t="n">
        <v>93.03</v>
      </c>
      <c r="K70" s="17">
        <f>IF(ISNUMBER(J70),J70*F70,"")</f>
        <v/>
      </c>
      <c r="L70" s="23">
        <f>IF(ISNUMBER(J70),K70-G70,"")</f>
        <v/>
      </c>
      <c r="M70" s="24">
        <f>IF(ISNUMBER(J70),L70/G70,"")</f>
        <v/>
      </c>
      <c r="N70" s="25">
        <f>IF(ISNUMBER(H70),H70-C70,"")</f>
        <v/>
      </c>
      <c r="O70" s="6" t="inlineStr">
        <is>
          <t>evening under 5% (watchdog)</t>
        </is>
      </c>
      <c r="P70" s="6" t="inlineStr">
        <is>
          <t>Closed</t>
        </is>
      </c>
    </row>
    <row r="71">
      <c r="A71" s="6" t="inlineStr">
        <is>
          <t>EQT</t>
        </is>
      </c>
      <c r="B71" s="6" t="inlineStr">
        <is>
          <t>EQT CORP</t>
        </is>
      </c>
      <c r="C71" s="22" t="n">
        <v>46324.69001157407</v>
      </c>
      <c r="D71" s="22" t="n">
        <v>46324.48167824074</v>
      </c>
      <c r="E71" s="17" t="n">
        <v>54.94</v>
      </c>
      <c r="F71" s="16" t="n">
        <v>24.950127411</v>
      </c>
      <c r="G71" s="17">
        <f>E71*F71</f>
        <v/>
      </c>
      <c r="H71" s="22" t="n">
        <v>46324.75886574074</v>
      </c>
      <c r="I71" s="22" t="n">
        <v>46324.5505324074</v>
      </c>
      <c r="J71" s="17" t="n">
        <v>54.75</v>
      </c>
      <c r="K71" s="17">
        <f>IF(ISNUMBER(J71),J71*F71,"")</f>
        <v/>
      </c>
      <c r="L71" s="23">
        <f>IF(ISNUMBER(J71),K71-G71,"")</f>
        <v/>
      </c>
      <c r="M71" s="24">
        <f>IF(ISNUMBER(J71),L71/G71,"")</f>
        <v/>
      </c>
      <c r="N71" s="25">
        <f>IF(ISNUMBER(H71),H71-C71,"")</f>
        <v/>
      </c>
      <c r="O71" s="6" t="inlineStr">
        <is>
          <t>2 or fewer green</t>
        </is>
      </c>
      <c r="P71" s="6" t="inlineStr">
        <is>
          <t>Closed</t>
        </is>
      </c>
    </row>
    <row r="72">
      <c r="A72" s="6" t="inlineStr">
        <is>
          <t>EBAY</t>
        </is>
      </c>
      <c r="B72" s="6" t="inlineStr">
        <is>
          <t>eBay Inc. Common Stock</t>
        </is>
      </c>
      <c r="C72" s="22" t="n">
        <v>46324.7149074074</v>
      </c>
      <c r="D72" s="22" t="n">
        <v>46324.50657407408</v>
      </c>
      <c r="E72" s="17" t="n">
        <v>121.4</v>
      </c>
      <c r="F72" s="16" t="n">
        <v>9.638632618999999</v>
      </c>
      <c r="G72" s="17">
        <f>E72*F72</f>
        <v/>
      </c>
      <c r="H72" s="22" t="n">
        <v>46324.85206018519</v>
      </c>
      <c r="I72" s="22" t="n">
        <v>46324.64372685185</v>
      </c>
      <c r="J72" s="17" t="n">
        <v>122.25</v>
      </c>
      <c r="K72" s="17">
        <f>IF(ISNUMBER(J72),J72*F72,"")</f>
        <v/>
      </c>
      <c r="L72" s="23">
        <f>IF(ISNUMBER(J72),K72-G72,"")</f>
        <v/>
      </c>
      <c r="M72" s="24">
        <f>IF(ISNUMBER(J72),L72/G72,"")</f>
        <v/>
      </c>
      <c r="N72" s="25">
        <f>IF(ISNUMBER(H72),H72-C72,"")</f>
        <v/>
      </c>
      <c r="O72" s="6" t="inlineStr">
        <is>
          <t>stop-loss (Alpaca order)</t>
        </is>
      </c>
      <c r="P72" s="6" t="inlineStr">
        <is>
          <t>Closed</t>
        </is>
      </c>
    </row>
    <row r="73">
      <c r="A73" s="6" t="inlineStr">
        <is>
          <t>REGN</t>
        </is>
      </c>
      <c r="B73" s="6" t="inlineStr">
        <is>
          <t>Regeneron Pharmaceuticals, Inc. Common Stock</t>
        </is>
      </c>
      <c r="C73" s="22" t="n">
        <v>46324.77543981482</v>
      </c>
      <c r="D73" s="22" t="n">
        <v>46324.56710648148</v>
      </c>
      <c r="E73" s="17" t="n">
        <v>812.87</v>
      </c>
      <c r="F73" s="16" t="n">
        <v>1.562144008</v>
      </c>
      <c r="G73" s="17">
        <f>E73*F73</f>
        <v/>
      </c>
      <c r="H73" s="22" t="n">
        <v>46324.85451388889</v>
      </c>
      <c r="I73" s="22" t="n">
        <v>46324.64618055556</v>
      </c>
      <c r="J73" s="17" t="n">
        <v>814.27</v>
      </c>
      <c r="K73" s="17">
        <f>IF(ISNUMBER(J73),J73*F73,"")</f>
        <v/>
      </c>
      <c r="L73" s="23">
        <f>IF(ISNUMBER(J73),K73-G73,"")</f>
        <v/>
      </c>
      <c r="M73" s="24">
        <f>IF(ISNUMBER(J73),L73/G73,"")</f>
        <v/>
      </c>
      <c r="N73" s="25">
        <f>IF(ISNUMBER(H73),H73-C73,"")</f>
        <v/>
      </c>
      <c r="O73" s="6" t="inlineStr">
        <is>
          <t>evening under 5% (watchdog)</t>
        </is>
      </c>
      <c r="P73" s="6" t="inlineStr">
        <is>
          <t>Closed</t>
        </is>
      </c>
    </row>
    <row r="74">
      <c r="A74" s="6" t="inlineStr">
        <is>
          <t>MNST</t>
        </is>
      </c>
      <c r="B74" s="6" t="inlineStr">
        <is>
          <t>Monster Beverage Corporation</t>
        </is>
      </c>
      <c r="C74" s="22" t="n">
        <v>46324.83886574074</v>
      </c>
      <c r="D74" s="22" t="n">
        <v>46324.63053240741</v>
      </c>
      <c r="E74" s="17" t="n">
        <v>46.33</v>
      </c>
      <c r="F74" s="16" t="n">
        <v>41.930066911</v>
      </c>
      <c r="G74" s="17">
        <f>E74*F74</f>
        <v/>
      </c>
      <c r="H74" s="22" t="n">
        <v>46324.85450231482</v>
      </c>
      <c r="I74" s="22" t="n">
        <v>46324.64616898148</v>
      </c>
      <c r="J74" s="17" t="n">
        <v>46.32</v>
      </c>
      <c r="K74" s="17">
        <f>IF(ISNUMBER(J74),J74*F74,"")</f>
        <v/>
      </c>
      <c r="L74" s="23">
        <f>IF(ISNUMBER(J74),K74-G74,"")</f>
        <v/>
      </c>
      <c r="M74" s="24">
        <f>IF(ISNUMBER(J74),L74/G74,"")</f>
        <v/>
      </c>
      <c r="N74" s="25">
        <f>IF(ISNUMBER(H74),H74-C74,"")</f>
        <v/>
      </c>
      <c r="O74" s="6" t="inlineStr">
        <is>
          <t>evening under 5% (watchdog)</t>
        </is>
      </c>
      <c r="P74" s="6" t="inlineStr">
        <is>
          <t>Closed</t>
        </is>
      </c>
    </row>
    <row r="75">
      <c r="A75" s="6" t="inlineStr">
        <is>
          <t>ISRG</t>
        </is>
      </c>
      <c r="B75" s="6" t="inlineStr">
        <is>
          <t>Intuitive Surgical, Inc. Common Stock</t>
        </is>
      </c>
      <c r="C75" s="22" t="n">
        <v>46325.60603009259</v>
      </c>
      <c r="D75" s="22" t="n">
        <v>46325.39769675926</v>
      </c>
      <c r="E75" s="17" t="n">
        <v>447.77</v>
      </c>
      <c r="F75" s="16" t="n">
        <v>18.497085557</v>
      </c>
      <c r="G75" s="17">
        <f>E75*F75</f>
        <v/>
      </c>
      <c r="H75" s="22" t="n"/>
      <c r="I75" s="22" t="n"/>
      <c r="J75" s="17" t="n"/>
      <c r="K75" s="17">
        <f>IF(ISNUMBER(J75),J75*F75,"")</f>
        <v/>
      </c>
      <c r="L75" s="23">
        <f>IF(ISNUMBER(J75),K75-G75,"")</f>
        <v/>
      </c>
      <c r="M75" s="24">
        <f>IF(ISNUMBER(J75),L75/G75,"")</f>
        <v/>
      </c>
      <c r="N75" s="25">
        <f>IF(ISNUMBER(H75),H75-C75,"")</f>
        <v/>
      </c>
      <c r="O75" s="6" t="n"/>
      <c r="P75" s="6" t="inlineStr">
        <is>
          <t>Open</t>
        </is>
      </c>
    </row>
    <row r="76">
      <c r="A76" s="6" t="inlineStr">
        <is>
          <t>MCK</t>
        </is>
      </c>
      <c r="B76" s="6" t="inlineStr">
        <is>
          <t>McKesson Corporation</t>
        </is>
      </c>
      <c r="C76" s="22" t="n">
        <v>46325.60611111111</v>
      </c>
      <c r="D76" s="22" t="n">
        <v>46325.39777777778</v>
      </c>
      <c r="E76" s="17" t="n">
        <v>1009.84</v>
      </c>
      <c r="F76" s="16" t="n">
        <v>8.201734928</v>
      </c>
      <c r="G76" s="17">
        <f>E76*F76</f>
        <v/>
      </c>
      <c r="H76" s="22" t="n"/>
      <c r="I76" s="22" t="n"/>
      <c r="J76" s="17" t="n"/>
      <c r="K76" s="17">
        <f>IF(ISNUMBER(J76),J76*F76,"")</f>
        <v/>
      </c>
      <c r="L76" s="23">
        <f>IF(ISNUMBER(J76),K76-G76,"")</f>
        <v/>
      </c>
      <c r="M76" s="24">
        <f>IF(ISNUMBER(J76),L76/G76,"")</f>
        <v/>
      </c>
      <c r="N76" s="25">
        <f>IF(ISNUMBER(H76),H76-C76,"")</f>
        <v/>
      </c>
      <c r="O76" s="6" t="n"/>
      <c r="P76" s="6" t="inlineStr">
        <is>
          <t>Open</t>
        </is>
      </c>
    </row>
    <row r="77">
      <c r="A77" s="6" t="inlineStr">
        <is>
          <t>EBAY</t>
        </is>
      </c>
      <c r="B77" s="6" t="inlineStr">
        <is>
          <t>eBay Inc. Common Stock</t>
        </is>
      </c>
      <c r="C77" s="22" t="n">
        <v>46325.60626157407</v>
      </c>
      <c r="D77" s="22" t="n">
        <v>46325.39792824074</v>
      </c>
      <c r="E77" s="17" t="n">
        <v>120.92</v>
      </c>
      <c r="F77" s="16" t="n">
        <v>68.49520344</v>
      </c>
      <c r="G77" s="17">
        <f>E77*F77</f>
        <v/>
      </c>
      <c r="H77" s="22" t="n">
        <v>46325.61028935185</v>
      </c>
      <c r="I77" s="22" t="n">
        <v>46325.40195601852</v>
      </c>
      <c r="J77" s="17" t="n">
        <v>120.92</v>
      </c>
      <c r="K77" s="17">
        <f>IF(ISNUMBER(J77),J77*F77,"")</f>
        <v/>
      </c>
      <c r="L77" s="23">
        <f>IF(ISNUMBER(J77),K77-G77,"")</f>
        <v/>
      </c>
      <c r="M77" s="24">
        <f>IF(ISNUMBER(J77),L77/G77,"")</f>
        <v/>
      </c>
      <c r="N77" s="25">
        <f>IF(ISNUMBER(H77),H77-C77,"")</f>
        <v/>
      </c>
      <c r="O77" s="6" t="inlineStr">
        <is>
          <t>stop-loss (Alpaca order)</t>
        </is>
      </c>
      <c r="P77" s="6" t="inlineStr">
        <is>
          <t>Closed</t>
        </is>
      </c>
    </row>
    <row r="78">
      <c r="A78" s="6" t="inlineStr">
        <is>
          <t>EQT</t>
        </is>
      </c>
      <c r="B78" s="6" t="inlineStr">
        <is>
          <t>EQT CORP</t>
        </is>
      </c>
      <c r="C78" s="22" t="n">
        <v>46325.60633101852</v>
      </c>
      <c r="D78" s="22" t="n">
        <v>46325.39799768518</v>
      </c>
      <c r="E78" s="17" t="n">
        <v>55.09</v>
      </c>
      <c r="F78" s="16" t="n">
        <v>150.343801052</v>
      </c>
      <c r="G78" s="17">
        <f>E78*F78</f>
        <v/>
      </c>
      <c r="H78" s="22" t="n">
        <v>46325.78715277778</v>
      </c>
      <c r="I78" s="22" t="n">
        <v>46325.57881944445</v>
      </c>
      <c r="J78" s="17" t="n">
        <v>55.37</v>
      </c>
      <c r="K78" s="17">
        <f>IF(ISNUMBER(J78),J78*F78,"")</f>
        <v/>
      </c>
      <c r="L78" s="23">
        <f>IF(ISNUMBER(J78),K78-G78,"")</f>
        <v/>
      </c>
      <c r="M78" s="24">
        <f>IF(ISNUMBER(J78),L78/G78,"")</f>
        <v/>
      </c>
      <c r="N78" s="25">
        <f>IF(ISNUMBER(H78),H78-C78,"")</f>
        <v/>
      </c>
      <c r="O78" s="6" t="inlineStr">
        <is>
          <t>stop-loss (Alpaca order)</t>
        </is>
      </c>
      <c r="P78" s="6" t="inlineStr">
        <is>
          <t>Closed</t>
        </is>
      </c>
    </row>
    <row r="79">
      <c r="A79" s="6" t="inlineStr">
        <is>
          <t>IQV</t>
        </is>
      </c>
      <c r="B79" s="6" t="inlineStr">
        <is>
          <t>IQVIA Holdings Inc.</t>
        </is>
      </c>
      <c r="C79" s="22" t="n">
        <v>46325.60637731481</v>
      </c>
      <c r="D79" s="22" t="n">
        <v>46325.39804398148</v>
      </c>
      <c r="E79" s="17" t="n">
        <v>270.89</v>
      </c>
      <c r="F79" s="16" t="n">
        <v>30.574919709</v>
      </c>
      <c r="G79" s="17">
        <f>E79*F79</f>
        <v/>
      </c>
      <c r="H79" s="22" t="n">
        <v>46325.6091087963</v>
      </c>
      <c r="I79" s="22" t="n">
        <v>46325.40077546296</v>
      </c>
      <c r="J79" s="17" t="n">
        <v>270.36</v>
      </c>
      <c r="K79" s="17">
        <f>IF(ISNUMBER(J79),J79*F79,"")</f>
        <v/>
      </c>
      <c r="L79" s="23">
        <f>IF(ISNUMBER(J79),K79-G79,"")</f>
        <v/>
      </c>
      <c r="M79" s="24">
        <f>IF(ISNUMBER(J79),L79/G79,"")</f>
        <v/>
      </c>
      <c r="N79" s="25">
        <f>IF(ISNUMBER(H79),H79-C79,"")</f>
        <v/>
      </c>
      <c r="O79" s="6" t="inlineStr">
        <is>
          <t>2 or fewer green</t>
        </is>
      </c>
      <c r="P79" s="6" t="inlineStr">
        <is>
          <t>Closed</t>
        </is>
      </c>
    </row>
    <row r="80">
      <c r="A80" s="6" t="inlineStr">
        <is>
          <t>TMO</t>
        </is>
      </c>
      <c r="B80" s="6" t="inlineStr">
        <is>
          <t>Thermo Fisher Scientific, Inc.</t>
        </is>
      </c>
      <c r="C80" s="22" t="n">
        <v>46325.6065162037</v>
      </c>
      <c r="D80" s="22" t="n">
        <v>46325.39818287037</v>
      </c>
      <c r="E80" s="17" t="n">
        <v>711.38</v>
      </c>
      <c r="F80" s="16" t="n">
        <v>11.642778824</v>
      </c>
      <c r="G80" s="17">
        <f>E80*F80</f>
        <v/>
      </c>
      <c r="H80" s="22" t="n"/>
      <c r="I80" s="22" t="n"/>
      <c r="J80" s="17" t="n"/>
      <c r="K80" s="17">
        <f>IF(ISNUMBER(J80),J80*F80,"")</f>
        <v/>
      </c>
      <c r="L80" s="23">
        <f>IF(ISNUMBER(J80),K80-G80,"")</f>
        <v/>
      </c>
      <c r="M80" s="24">
        <f>IF(ISNUMBER(J80),L80/G80,"")</f>
        <v/>
      </c>
      <c r="N80" s="25">
        <f>IF(ISNUMBER(H80),H80-C80,"")</f>
        <v/>
      </c>
      <c r="O80" s="6" t="n"/>
      <c r="P80" s="6" t="inlineStr">
        <is>
          <t>Open</t>
        </is>
      </c>
    </row>
    <row r="81">
      <c r="A81" s="6" t="inlineStr">
        <is>
          <t>SHEL</t>
        </is>
      </c>
      <c r="B81" s="6" t="inlineStr">
        <is>
          <t>Shell plc American Depositary Shares (Each represents two Ordinary shares)</t>
        </is>
      </c>
      <c r="C81" s="22" t="n">
        <v>46325.60664351852</v>
      </c>
      <c r="D81" s="22" t="n">
        <v>46325.39831018518</v>
      </c>
      <c r="E81" s="17" t="n">
        <v>108.801084</v>
      </c>
      <c r="F81" s="16" t="n">
        <v>76.12460944599999</v>
      </c>
      <c r="G81" s="17">
        <f>E81*F81</f>
        <v/>
      </c>
      <c r="H81" s="22" t="n"/>
      <c r="I81" s="22" t="n"/>
      <c r="J81" s="17" t="n"/>
      <c r="K81" s="17">
        <f>IF(ISNUMBER(J81),J81*F81,"")</f>
        <v/>
      </c>
      <c r="L81" s="23">
        <f>IF(ISNUMBER(J81),K81-G81,"")</f>
        <v/>
      </c>
      <c r="M81" s="24">
        <f>IF(ISNUMBER(J81),L81/G81,"")</f>
        <v/>
      </c>
      <c r="N81" s="25">
        <f>IF(ISNUMBER(H81),H81-C81,"")</f>
        <v/>
      </c>
      <c r="O81" s="6" t="n"/>
      <c r="P81" s="6" t="inlineStr">
        <is>
          <t>Open</t>
        </is>
      </c>
    </row>
    <row r="82">
      <c r="A82" s="6" t="inlineStr">
        <is>
          <t>MPC</t>
        </is>
      </c>
      <c r="B82" s="6" t="inlineStr">
        <is>
          <t>MARATHON PETROLEUM CORPORATION</t>
        </is>
      </c>
      <c r="C82" s="22" t="n">
        <v>46325.60696759259</v>
      </c>
      <c r="D82" s="22" t="n">
        <v>46325.39863425926</v>
      </c>
      <c r="E82" s="17" t="n">
        <v>442</v>
      </c>
      <c r="F82" s="16" t="n">
        <v>18.738552036</v>
      </c>
      <c r="G82" s="17">
        <f>E82*F82</f>
        <v/>
      </c>
      <c r="H82" s="22" t="n"/>
      <c r="I82" s="22" t="n"/>
      <c r="J82" s="17" t="n"/>
      <c r="K82" s="17">
        <f>IF(ISNUMBER(J82),J82*F82,"")</f>
        <v/>
      </c>
      <c r="L82" s="23">
        <f>IF(ISNUMBER(J82),K82-G82,"")</f>
        <v/>
      </c>
      <c r="M82" s="24">
        <f>IF(ISNUMBER(J82),L82/G82,"")</f>
        <v/>
      </c>
      <c r="N82" s="25">
        <f>IF(ISNUMBER(H82),H82-C82,"")</f>
        <v/>
      </c>
      <c r="O82" s="6" t="n"/>
      <c r="P82" s="6" t="inlineStr">
        <is>
          <t>Open</t>
        </is>
      </c>
    </row>
    <row r="83">
      <c r="A83" s="6" t="inlineStr">
        <is>
          <t>AVTR</t>
        </is>
      </c>
      <c r="B83" s="6" t="inlineStr">
        <is>
          <t>Avantor, Inc.</t>
        </is>
      </c>
      <c r="C83" s="22" t="n">
        <v>46325.60703703704</v>
      </c>
      <c r="D83" s="22" t="n">
        <v>46325.3987037037</v>
      </c>
      <c r="E83" s="17" t="n">
        <v>16.368458</v>
      </c>
      <c r="F83" s="16" t="n">
        <v>506</v>
      </c>
      <c r="G83" s="17">
        <f>E83*F83</f>
        <v/>
      </c>
      <c r="H83" s="22" t="n">
        <v>46325.6212037037</v>
      </c>
      <c r="I83" s="22" t="n">
        <v>46325.41287037037</v>
      </c>
      <c r="J83" s="17" t="n">
        <v>16.09581</v>
      </c>
      <c r="K83" s="17">
        <f>IF(ISNUMBER(J83),J83*F83,"")</f>
        <v/>
      </c>
      <c r="L83" s="23">
        <f>IF(ISNUMBER(J83),K83-G83,"")</f>
        <v/>
      </c>
      <c r="M83" s="24">
        <f>IF(ISNUMBER(J83),L83/G83,"")</f>
        <v/>
      </c>
      <c r="N83" s="25">
        <f>IF(ISNUMBER(H83),H83-C83,"")</f>
        <v/>
      </c>
      <c r="O83" s="6" t="inlineStr">
        <is>
          <t>bad day</t>
        </is>
      </c>
      <c r="P83" s="6" t="inlineStr">
        <is>
          <t>Closed</t>
        </is>
      </c>
    </row>
    <row r="84">
      <c r="A84" s="6" t="inlineStr">
        <is>
          <t>WTW</t>
        </is>
      </c>
      <c r="B84" s="6" t="inlineStr">
        <is>
          <t>Willis Towers Watson Public Limited Company Ordinary Shares</t>
        </is>
      </c>
      <c r="C84" s="22" t="n">
        <v>46325.60714120371</v>
      </c>
      <c r="D84" s="22" t="n">
        <v>46325.39880787037</v>
      </c>
      <c r="E84" s="17" t="n">
        <v>325.993415</v>
      </c>
      <c r="F84" s="16" t="n">
        <v>25.40677088</v>
      </c>
      <c r="G84" s="17">
        <f>E84*F84</f>
        <v/>
      </c>
      <c r="H84" s="22" t="n"/>
      <c r="I84" s="22" t="n"/>
      <c r="J84" s="17" t="n"/>
      <c r="K84" s="17">
        <f>IF(ISNUMBER(J84),J84*F84,"")</f>
        <v/>
      </c>
      <c r="L84" s="23">
        <f>IF(ISNUMBER(J84),K84-G84,"")</f>
        <v/>
      </c>
      <c r="M84" s="24">
        <f>IF(ISNUMBER(J84),L84/G84,"")</f>
        <v/>
      </c>
      <c r="N84" s="25">
        <f>IF(ISNUMBER(H84),H84-C84,"")</f>
        <v/>
      </c>
      <c r="O84" s="6" t="n"/>
      <c r="P84" s="6" t="inlineStr">
        <is>
          <t>Open</t>
        </is>
      </c>
    </row>
    <row r="85">
      <c r="A85" s="6" t="inlineStr">
        <is>
          <t>VEEV</t>
        </is>
      </c>
      <c r="B85" s="6" t="inlineStr">
        <is>
          <t>Veeva Systems Inc.</t>
        </is>
      </c>
      <c r="C85" s="22" t="n">
        <v>46325.60730324074</v>
      </c>
      <c r="D85" s="22" t="n">
        <v>46325.39896990741</v>
      </c>
      <c r="E85" s="17" t="n">
        <v>313.499635</v>
      </c>
      <c r="F85" s="16" t="n">
        <v>26.419297124</v>
      </c>
      <c r="G85" s="17">
        <f>E85*F85</f>
        <v/>
      </c>
      <c r="H85" s="22" t="n"/>
      <c r="I85" s="22" t="n"/>
      <c r="J85" s="17" t="n"/>
      <c r="K85" s="17">
        <f>IF(ISNUMBER(J85),J85*F85,"")</f>
        <v/>
      </c>
      <c r="L85" s="23">
        <f>IF(ISNUMBER(J85),K85-G85,"")</f>
        <v/>
      </c>
      <c r="M85" s="24">
        <f>IF(ISNUMBER(J85),L85/G85,"")</f>
        <v/>
      </c>
      <c r="N85" s="25">
        <f>IF(ISNUMBER(H85),H85-C85,"")</f>
        <v/>
      </c>
      <c r="O85" s="6" t="n"/>
      <c r="P85" s="6" t="inlineStr">
        <is>
          <t>Open</t>
        </is>
      </c>
    </row>
    <row r="86">
      <c r="A86" s="6" t="inlineStr">
        <is>
          <t>ADI</t>
        </is>
      </c>
      <c r="B86" s="6" t="inlineStr">
        <is>
          <t>Analog Devices, Inc. Common Stock</t>
        </is>
      </c>
      <c r="C86" s="22" t="n">
        <v>46325.60908564815</v>
      </c>
      <c r="D86" s="22" t="n">
        <v>46325.40075231482</v>
      </c>
      <c r="E86" s="17" t="n">
        <v>423.37</v>
      </c>
      <c r="F86" s="16" t="n">
        <v>1.637432978</v>
      </c>
      <c r="G86" s="17">
        <f>E86*F86</f>
        <v/>
      </c>
      <c r="H86" s="22" t="n">
        <v>46325.67149305555</v>
      </c>
      <c r="I86" s="22" t="n">
        <v>46325.46315972223</v>
      </c>
      <c r="J86" s="17" t="n">
        <v>414.8</v>
      </c>
      <c r="K86" s="17">
        <f>IF(ISNUMBER(J86),J86*F86,"")</f>
        <v/>
      </c>
      <c r="L86" s="23">
        <f>IF(ISNUMBER(J86),K86-G86,"")</f>
        <v/>
      </c>
      <c r="M86" s="24">
        <f>IF(ISNUMBER(J86),L86/G86,"")</f>
        <v/>
      </c>
      <c r="N86" s="25">
        <f>IF(ISNUMBER(H86),H86-C86,"")</f>
        <v/>
      </c>
      <c r="O86" s="6" t="inlineStr">
        <is>
          <t>bad day</t>
        </is>
      </c>
      <c r="P86" s="6" t="inlineStr">
        <is>
          <t>Closed</t>
        </is>
      </c>
    </row>
    <row r="87">
      <c r="A87" s="6" t="inlineStr">
        <is>
          <t>ABBV</t>
        </is>
      </c>
      <c r="B87" s="6" t="inlineStr">
        <is>
          <t>ABBVIE INC.</t>
        </is>
      </c>
      <c r="C87" s="22" t="n">
        <v>46325.60912037037</v>
      </c>
      <c r="D87" s="22" t="n">
        <v>46325.40078703704</v>
      </c>
      <c r="E87" s="17" t="n">
        <v>295.99</v>
      </c>
      <c r="F87" s="16" t="n">
        <v>2.342106152</v>
      </c>
      <c r="G87" s="17">
        <f>E87*F87</f>
        <v/>
      </c>
      <c r="H87" s="22" t="n"/>
      <c r="I87" s="22" t="n"/>
      <c r="J87" s="17" t="n"/>
      <c r="K87" s="17">
        <f>IF(ISNUMBER(J87),J87*F87,"")</f>
        <v/>
      </c>
      <c r="L87" s="23">
        <f>IF(ISNUMBER(J87),K87-G87,"")</f>
        <v/>
      </c>
      <c r="M87" s="24">
        <f>IF(ISNUMBER(J87),L87/G87,"")</f>
        <v/>
      </c>
      <c r="N87" s="25">
        <f>IF(ISNUMBER(H87),H87-C87,"")</f>
        <v/>
      </c>
      <c r="O87" s="6" t="n"/>
      <c r="P87" s="6" t="inlineStr">
        <is>
          <t>Open</t>
        </is>
      </c>
    </row>
    <row r="88">
      <c r="A88" s="6" t="inlineStr">
        <is>
          <t>OXY</t>
        </is>
      </c>
      <c r="B88" s="6" t="inlineStr">
        <is>
          <t>Occidental Petroleum Corporation</t>
        </is>
      </c>
      <c r="C88" s="22" t="n">
        <v>46325.60914351852</v>
      </c>
      <c r="D88" s="22" t="n">
        <v>46325.40081018519</v>
      </c>
      <c r="E88" s="17" t="n">
        <v>63.76</v>
      </c>
      <c r="F88" s="16" t="n">
        <v>10.872647427</v>
      </c>
      <c r="G88" s="17">
        <f>E88*F88</f>
        <v/>
      </c>
      <c r="H88" s="22" t="n"/>
      <c r="I88" s="22" t="n"/>
      <c r="J88" s="17" t="n"/>
      <c r="K88" s="17">
        <f>IF(ISNUMBER(J88),J88*F88,"")</f>
        <v/>
      </c>
      <c r="L88" s="23">
        <f>IF(ISNUMBER(J88),K88-G88,"")</f>
        <v/>
      </c>
      <c r="M88" s="24">
        <f>IF(ISNUMBER(J88),L88/G88,"")</f>
        <v/>
      </c>
      <c r="N88" s="25">
        <f>IF(ISNUMBER(H88),H88-C88,"")</f>
        <v/>
      </c>
      <c r="O88" s="6" t="n"/>
      <c r="P88" s="6" t="inlineStr">
        <is>
          <t>Open</t>
        </is>
      </c>
    </row>
    <row r="89">
      <c r="A89" s="6" t="inlineStr">
        <is>
          <t>ICE</t>
        </is>
      </c>
      <c r="B89" s="6" t="inlineStr">
        <is>
          <t>Intercontinental Exchange  Inc.</t>
        </is>
      </c>
      <c r="C89" s="22" t="n">
        <v>46325.60914351852</v>
      </c>
      <c r="D89" s="22" t="n">
        <v>46325.40081018519</v>
      </c>
      <c r="E89" s="17" t="n">
        <v>167.21</v>
      </c>
      <c r="F89" s="16" t="n">
        <v>4.145924286</v>
      </c>
      <c r="G89" s="17">
        <f>E89*F89</f>
        <v/>
      </c>
      <c r="H89" s="22" t="n"/>
      <c r="I89" s="22" t="n"/>
      <c r="J89" s="17" t="n"/>
      <c r="K89" s="17">
        <f>IF(ISNUMBER(J89),J89*F89,"")</f>
        <v/>
      </c>
      <c r="L89" s="23">
        <f>IF(ISNUMBER(J89),K89-G89,"")</f>
        <v/>
      </c>
      <c r="M89" s="24">
        <f>IF(ISNUMBER(J89),L89/G89,"")</f>
        <v/>
      </c>
      <c r="N89" s="25">
        <f>IF(ISNUMBER(H89),H89-C89,"")</f>
        <v/>
      </c>
      <c r="O89" s="6" t="n"/>
      <c r="P89" s="6" t="inlineStr">
        <is>
          <t>Open</t>
        </is>
      </c>
    </row>
    <row r="90">
      <c r="A90" s="6" t="inlineStr">
        <is>
          <t>ADP</t>
        </is>
      </c>
      <c r="B90" s="6" t="inlineStr">
        <is>
          <t>Automatic Data Processing, Inc. Common Stock</t>
        </is>
      </c>
      <c r="C90" s="22" t="n">
        <v>46325.60915509259</v>
      </c>
      <c r="D90" s="22" t="n">
        <v>46325.40082175926</v>
      </c>
      <c r="E90" s="17" t="n">
        <v>293.43</v>
      </c>
      <c r="F90" s="16" t="n">
        <v>2.362539617</v>
      </c>
      <c r="G90" s="17">
        <f>E90*F90</f>
        <v/>
      </c>
      <c r="H90" s="22" t="n"/>
      <c r="I90" s="22" t="n"/>
      <c r="J90" s="17" t="n"/>
      <c r="K90" s="17">
        <f>IF(ISNUMBER(J90),J90*F90,"")</f>
        <v/>
      </c>
      <c r="L90" s="23">
        <f>IF(ISNUMBER(J90),K90-G90,"")</f>
        <v/>
      </c>
      <c r="M90" s="24">
        <f>IF(ISNUMBER(J90),L90/G90,"")</f>
        <v/>
      </c>
      <c r="N90" s="25">
        <f>IF(ISNUMBER(H90),H90-C90,"")</f>
        <v/>
      </c>
      <c r="O90" s="6" t="n"/>
      <c r="P90" s="6" t="inlineStr">
        <is>
          <t>Open</t>
        </is>
      </c>
    </row>
    <row r="91">
      <c r="A91" s="6" t="inlineStr">
        <is>
          <t>EQNR</t>
        </is>
      </c>
      <c r="B91" s="6" t="inlineStr">
        <is>
          <t>Equinor ASA American Depositary Shares (Each Representing One Ordinary Share, nominal value NOK 2.50 per share)</t>
        </is>
      </c>
      <c r="C91" s="22" t="n">
        <v>46325.60915509259</v>
      </c>
      <c r="D91" s="22" t="n">
        <v>46325.40082175926</v>
      </c>
      <c r="E91" s="17" t="n">
        <v>48.717028</v>
      </c>
      <c r="F91" s="16" t="n">
        <v>14.229932252</v>
      </c>
      <c r="G91" s="17">
        <f>E91*F91</f>
        <v/>
      </c>
      <c r="H91" s="22" t="n"/>
      <c r="I91" s="22" t="n"/>
      <c r="J91" s="17" t="n"/>
      <c r="K91" s="17">
        <f>IF(ISNUMBER(J91),J91*F91,"")</f>
        <v/>
      </c>
      <c r="L91" s="23">
        <f>IF(ISNUMBER(J91),K91-G91,"")</f>
        <v/>
      </c>
      <c r="M91" s="24">
        <f>IF(ISNUMBER(J91),L91/G91,"")</f>
        <v/>
      </c>
      <c r="N91" s="25">
        <f>IF(ISNUMBER(H91),H91-C91,"")</f>
        <v/>
      </c>
      <c r="O91" s="6" t="n"/>
      <c r="P91" s="6" t="inlineStr">
        <is>
          <t>Open</t>
        </is>
      </c>
    </row>
    <row r="92">
      <c r="A92" s="6" t="inlineStr">
        <is>
          <t>SN</t>
        </is>
      </c>
      <c r="B92" s="6" t="inlineStr">
        <is>
          <t>SharkNinja, Inc.</t>
        </is>
      </c>
      <c r="C92" s="22" t="n">
        <v>46325.60915509259</v>
      </c>
      <c r="D92" s="22" t="n">
        <v>46325.40082175926</v>
      </c>
      <c r="E92" s="17" t="n">
        <v>209.77</v>
      </c>
      <c r="F92" s="16" t="n">
        <v>3.304762358</v>
      </c>
      <c r="G92" s="17">
        <f>E92*F92</f>
        <v/>
      </c>
      <c r="H92" s="22" t="n"/>
      <c r="I92" s="22" t="n"/>
      <c r="J92" s="17" t="n"/>
      <c r="K92" s="17">
        <f>IF(ISNUMBER(J92),J92*F92,"")</f>
        <v/>
      </c>
      <c r="L92" s="23">
        <f>IF(ISNUMBER(J92),K92-G92,"")</f>
        <v/>
      </c>
      <c r="M92" s="24">
        <f>IF(ISNUMBER(J92),L92/G92,"")</f>
        <v/>
      </c>
      <c r="N92" s="25">
        <f>IF(ISNUMBER(H92),H92-C92,"")</f>
        <v/>
      </c>
      <c r="O92" s="6" t="n"/>
      <c r="P92" s="6" t="inlineStr">
        <is>
          <t>Open</t>
        </is>
      </c>
    </row>
    <row r="93">
      <c r="A93" s="6" t="inlineStr">
        <is>
          <t>MNST</t>
        </is>
      </c>
      <c r="B93" s="6" t="inlineStr">
        <is>
          <t>Monster Beverage Corporation</t>
        </is>
      </c>
      <c r="C93" s="22" t="n">
        <v>46325.60915509259</v>
      </c>
      <c r="D93" s="22" t="n">
        <v>46325.40082175926</v>
      </c>
      <c r="E93" s="17" t="n">
        <v>47.2</v>
      </c>
      <c r="F93" s="16" t="n">
        <v>14.687288135</v>
      </c>
      <c r="G93" s="17">
        <f>E93*F93</f>
        <v/>
      </c>
      <c r="H93" s="22" t="n"/>
      <c r="I93" s="22" t="n"/>
      <c r="J93" s="17" t="n"/>
      <c r="K93" s="17">
        <f>IF(ISNUMBER(J93),J93*F93,"")</f>
        <v/>
      </c>
      <c r="L93" s="23">
        <f>IF(ISNUMBER(J93),K93-G93,"")</f>
        <v/>
      </c>
      <c r="M93" s="24">
        <f>IF(ISNUMBER(J93),L93/G93,"")</f>
        <v/>
      </c>
      <c r="N93" s="25">
        <f>IF(ISNUMBER(H93),H93-C93,"")</f>
        <v/>
      </c>
      <c r="O93" s="6" t="n"/>
      <c r="P93" s="6" t="inlineStr">
        <is>
          <t>Open</t>
        </is>
      </c>
    </row>
    <row r="94">
      <c r="A94" s="6" t="inlineStr">
        <is>
          <t>CBOE</t>
        </is>
      </c>
      <c r="B94" s="6" t="inlineStr">
        <is>
          <t>Cboe Global Markets, Inc.</t>
        </is>
      </c>
      <c r="C94" s="22" t="n">
        <v>46325.60916666667</v>
      </c>
      <c r="D94" s="22" t="n">
        <v>46325.40083333333</v>
      </c>
      <c r="E94" s="17" t="n">
        <v>330.64</v>
      </c>
      <c r="F94" s="16" t="n">
        <v>2.096661021</v>
      </c>
      <c r="G94" s="17">
        <f>E94*F94</f>
        <v/>
      </c>
      <c r="H94" s="22" t="n">
        <v>46325.61847222222</v>
      </c>
      <c r="I94" s="22" t="n">
        <v>46325.41013888889</v>
      </c>
      <c r="J94" s="17" t="n">
        <v>331.63</v>
      </c>
      <c r="K94" s="17">
        <f>IF(ISNUMBER(J94),J94*F94,"")</f>
        <v/>
      </c>
      <c r="L94" s="23">
        <f>IF(ISNUMBER(J94),K94-G94,"")</f>
        <v/>
      </c>
      <c r="M94" s="24">
        <f>IF(ISNUMBER(J94),L94/G94,"")</f>
        <v/>
      </c>
      <c r="N94" s="25">
        <f>IF(ISNUMBER(H94),H94-C94,"")</f>
        <v/>
      </c>
      <c r="O94" s="6" t="inlineStr">
        <is>
          <t>stop-loss (Alpaca order)</t>
        </is>
      </c>
      <c r="P94" s="6" t="inlineStr">
        <is>
          <t>Closed</t>
        </is>
      </c>
    </row>
    <row r="95">
      <c r="A95" s="6" t="inlineStr">
        <is>
          <t>CTSH</t>
        </is>
      </c>
      <c r="B95" s="6" t="inlineStr">
        <is>
          <t>Cognizant Technology Solutions Corporation Class A Common Stock</t>
        </is>
      </c>
      <c r="C95" s="22" t="n">
        <v>46325.60917824074</v>
      </c>
      <c r="D95" s="22" t="n">
        <v>46325.40084490741</v>
      </c>
      <c r="E95" s="17" t="n">
        <v>64.13</v>
      </c>
      <c r="F95" s="16" t="n">
        <v>10.809917355</v>
      </c>
      <c r="G95" s="17">
        <f>E95*F95</f>
        <v/>
      </c>
      <c r="H95" s="22" t="n">
        <v>46325.62011574074</v>
      </c>
      <c r="I95" s="22" t="n">
        <v>46325.41178240741</v>
      </c>
      <c r="J95" s="17" t="n">
        <v>64.54000000000001</v>
      </c>
      <c r="K95" s="17">
        <f>IF(ISNUMBER(J95),J95*F95,"")</f>
        <v/>
      </c>
      <c r="L95" s="23">
        <f>IF(ISNUMBER(J95),K95-G95,"")</f>
        <v/>
      </c>
      <c r="M95" s="24">
        <f>IF(ISNUMBER(J95),L95/G95,"")</f>
        <v/>
      </c>
      <c r="N95" s="25">
        <f>IF(ISNUMBER(H95),H95-C95,"")</f>
        <v/>
      </c>
      <c r="O95" s="6" t="inlineStr">
        <is>
          <t>stop-loss (Alpaca order)</t>
        </is>
      </c>
      <c r="P95" s="6" t="inlineStr">
        <is>
          <t>Closed</t>
        </is>
      </c>
    </row>
    <row r="96">
      <c r="A96" s="6" t="inlineStr">
        <is>
          <t>ZS</t>
        </is>
      </c>
      <c r="B96" s="6" t="inlineStr">
        <is>
          <t>Zscaler, Inc. Common Stock</t>
        </is>
      </c>
      <c r="C96" s="22" t="n">
        <v>46325.60917824074</v>
      </c>
      <c r="D96" s="22" t="n">
        <v>46325.40084490741</v>
      </c>
      <c r="E96" s="17" t="n">
        <v>245.5</v>
      </c>
      <c r="F96" s="16" t="n">
        <v>2.823788187</v>
      </c>
      <c r="G96" s="17">
        <f>E96*F96</f>
        <v/>
      </c>
      <c r="H96" s="22" t="n">
        <v>46325.63378472222</v>
      </c>
      <c r="I96" s="22" t="n">
        <v>46325.42545138889</v>
      </c>
      <c r="J96" s="17" t="n">
        <v>238.21</v>
      </c>
      <c r="K96" s="17">
        <f>IF(ISNUMBER(J96),J96*F96,"")</f>
        <v/>
      </c>
      <c r="L96" s="23">
        <f>IF(ISNUMBER(J96),K96-G96,"")</f>
        <v/>
      </c>
      <c r="M96" s="24">
        <f>IF(ISNUMBER(J96),L96/G96,"")</f>
        <v/>
      </c>
      <c r="N96" s="25">
        <f>IF(ISNUMBER(H96),H96-C96,"")</f>
        <v/>
      </c>
      <c r="O96" s="6" t="inlineStr">
        <is>
          <t>bad day</t>
        </is>
      </c>
      <c r="P96" s="6" t="inlineStr">
        <is>
          <t>Closed</t>
        </is>
      </c>
    </row>
    <row r="97">
      <c r="A97" s="6" t="inlineStr">
        <is>
          <t>KR</t>
        </is>
      </c>
      <c r="B97" s="6" t="inlineStr">
        <is>
          <t>The Kroger Co.</t>
        </is>
      </c>
      <c r="C97" s="22" t="n">
        <v>46325.60918981482</v>
      </c>
      <c r="D97" s="22" t="n">
        <v>46325.40085648148</v>
      </c>
      <c r="E97" s="17" t="n">
        <v>67.65000000000001</v>
      </c>
      <c r="F97" s="16" t="n">
        <v>10.24745011</v>
      </c>
      <c r="G97" s="17">
        <f>E97*F97</f>
        <v/>
      </c>
      <c r="H97" s="22" t="n"/>
      <c r="I97" s="22" t="n"/>
      <c r="J97" s="17" t="n"/>
      <c r="K97" s="17">
        <f>IF(ISNUMBER(J97),J97*F97,"")</f>
        <v/>
      </c>
      <c r="L97" s="23">
        <f>IF(ISNUMBER(J97),K97-G97,"")</f>
        <v/>
      </c>
      <c r="M97" s="24">
        <f>IF(ISNUMBER(J97),L97/G97,"")</f>
        <v/>
      </c>
      <c r="N97" s="25">
        <f>IF(ISNUMBER(H97),H97-C97,"")</f>
        <v/>
      </c>
      <c r="O97" s="6" t="n"/>
      <c r="P97" s="6" t="inlineStr">
        <is>
          <t>Open</t>
        </is>
      </c>
    </row>
    <row r="98">
      <c r="A98" s="6" t="inlineStr">
        <is>
          <t>NTRA</t>
        </is>
      </c>
      <c r="B98" s="6" t="inlineStr">
        <is>
          <t>Natera, Inc. Common Stock</t>
        </is>
      </c>
      <c r="C98" s="22" t="n">
        <v>46325.61344907407</v>
      </c>
      <c r="D98" s="22" t="n">
        <v>46325.40511574074</v>
      </c>
      <c r="E98" s="17" t="n">
        <v>428.85</v>
      </c>
      <c r="F98" s="16" t="n">
        <v>3.215063542</v>
      </c>
      <c r="G98" s="17">
        <f>E98*F98</f>
        <v/>
      </c>
      <c r="H98" s="22" t="n">
        <v>46325.61717592592</v>
      </c>
      <c r="I98" s="22" t="n">
        <v>46325.40884259259</v>
      </c>
      <c r="J98" s="17" t="n">
        <v>421.1</v>
      </c>
      <c r="K98" s="17">
        <f>IF(ISNUMBER(J98),J98*F98,"")</f>
        <v/>
      </c>
      <c r="L98" s="23">
        <f>IF(ISNUMBER(J98),K98-G98,"")</f>
        <v/>
      </c>
      <c r="M98" s="24">
        <f>IF(ISNUMBER(J98),L98/G98,"")</f>
        <v/>
      </c>
      <c r="N98" s="25">
        <f>IF(ISNUMBER(H98),H98-C98,"")</f>
        <v/>
      </c>
      <c r="O98" s="6" t="inlineStr">
        <is>
          <t>bad day</t>
        </is>
      </c>
      <c r="P98" s="6" t="inlineStr">
        <is>
          <t>Closed</t>
        </is>
      </c>
    </row>
    <row r="99">
      <c r="A99" s="6" t="inlineStr">
        <is>
          <t>D</t>
        </is>
      </c>
      <c r="B99" s="6" t="inlineStr">
        <is>
          <t>Dominion Energy, Inc Common Stock</t>
        </is>
      </c>
      <c r="C99" s="22" t="n">
        <v>46325.61344907407</v>
      </c>
      <c r="D99" s="22" t="n">
        <v>46325.40511574074</v>
      </c>
      <c r="E99" s="17" t="n">
        <v>66.22</v>
      </c>
      <c r="F99" s="16" t="n">
        <v>20.821202053</v>
      </c>
      <c r="G99" s="17">
        <f>E99*F99</f>
        <v/>
      </c>
      <c r="H99" s="22" t="n"/>
      <c r="I99" s="22" t="n"/>
      <c r="J99" s="17" t="n"/>
      <c r="K99" s="17">
        <f>IF(ISNUMBER(J99),J99*F99,"")</f>
        <v/>
      </c>
      <c r="L99" s="23">
        <f>IF(ISNUMBER(J99),K99-G99,"")</f>
        <v/>
      </c>
      <c r="M99" s="24">
        <f>IF(ISNUMBER(J99),L99/G99,"")</f>
        <v/>
      </c>
      <c r="N99" s="25">
        <f>IF(ISNUMBER(H99),H99-C99,"")</f>
        <v/>
      </c>
      <c r="O99" s="6" t="n"/>
      <c r="P99" s="6" t="inlineStr">
        <is>
          <t>Open</t>
        </is>
      </c>
    </row>
    <row r="100">
      <c r="A100" s="6" t="inlineStr">
        <is>
          <t>MO</t>
        </is>
      </c>
      <c r="B100" s="6" t="inlineStr">
        <is>
          <t>Altria Group, Inc.</t>
        </is>
      </c>
      <c r="C100" s="22" t="n">
        <v>46325.61346064815</v>
      </c>
      <c r="D100" s="22" t="n">
        <v>46325.40512731481</v>
      </c>
      <c r="E100" s="17" t="n">
        <v>78.78</v>
      </c>
      <c r="F100" s="16" t="n">
        <v>17.501650165</v>
      </c>
      <c r="G100" s="17">
        <f>E100*F100</f>
        <v/>
      </c>
      <c r="H100" s="22" t="n"/>
      <c r="I100" s="22" t="n"/>
      <c r="J100" s="17" t="n"/>
      <c r="K100" s="17">
        <f>IF(ISNUMBER(J100),J100*F100,"")</f>
        <v/>
      </c>
      <c r="L100" s="23">
        <f>IF(ISNUMBER(J100),K100-G100,"")</f>
        <v/>
      </c>
      <c r="M100" s="24">
        <f>IF(ISNUMBER(J100),L100/G100,"")</f>
        <v/>
      </c>
      <c r="N100" s="25">
        <f>IF(ISNUMBER(H100),H100-C100,"")</f>
        <v/>
      </c>
      <c r="O100" s="6" t="n"/>
      <c r="P100" s="6" t="inlineStr">
        <is>
          <t>Open</t>
        </is>
      </c>
    </row>
    <row r="101">
      <c r="A101" s="6" t="inlineStr">
        <is>
          <t>SO</t>
        </is>
      </c>
      <c r="B101" s="6" t="inlineStr">
        <is>
          <t>The Southern Company</t>
        </is>
      </c>
      <c r="C101" s="22" t="n">
        <v>46325.61347222222</v>
      </c>
      <c r="D101" s="22" t="n">
        <v>46325.40513888889</v>
      </c>
      <c r="E101" s="17" t="n">
        <v>94.119043</v>
      </c>
      <c r="F101" s="16" t="n">
        <v>14.649320305</v>
      </c>
      <c r="G101" s="17">
        <f>E101*F101</f>
        <v/>
      </c>
      <c r="H101" s="22" t="n"/>
      <c r="I101" s="22" t="n"/>
      <c r="J101" s="17" t="n"/>
      <c r="K101" s="17">
        <f>IF(ISNUMBER(J101),J101*F101,"")</f>
        <v/>
      </c>
      <c r="L101" s="23">
        <f>IF(ISNUMBER(J101),K101-G101,"")</f>
        <v/>
      </c>
      <c r="M101" s="24">
        <f>IF(ISNUMBER(J101),L101/G101,"")</f>
        <v/>
      </c>
      <c r="N101" s="25">
        <f>IF(ISNUMBER(H101),H101-C101,"")</f>
        <v/>
      </c>
      <c r="O101" s="6" t="n"/>
      <c r="P101" s="6" t="inlineStr">
        <is>
          <t>Open</t>
        </is>
      </c>
    </row>
    <row r="102">
      <c r="A102" s="6" t="inlineStr">
        <is>
          <t>NTSK</t>
        </is>
      </c>
      <c r="B102" s="6" t="inlineStr">
        <is>
          <t>Netskope, Inc. Class A Common Stock</t>
        </is>
      </c>
      <c r="C102" s="22" t="n">
        <v>46325.61721064815</v>
      </c>
      <c r="D102" s="22" t="n">
        <v>46325.40887731482</v>
      </c>
      <c r="E102" s="17" t="n">
        <v>25.502247</v>
      </c>
      <c r="F102" s="16" t="n">
        <v>36.050548589</v>
      </c>
      <c r="G102" s="17">
        <f>E102*F102</f>
        <v/>
      </c>
      <c r="H102" s="22" t="n">
        <v>46325.7096875</v>
      </c>
      <c r="I102" s="22" t="n">
        <v>46325.50135416666</v>
      </c>
      <c r="J102" s="17" t="n">
        <v>24.21</v>
      </c>
      <c r="K102" s="17">
        <f>IF(ISNUMBER(J102),J102*F102,"")</f>
        <v/>
      </c>
      <c r="L102" s="23">
        <f>IF(ISNUMBER(J102),K102-G102,"")</f>
        <v/>
      </c>
      <c r="M102" s="24">
        <f>IF(ISNUMBER(J102),L102/G102,"")</f>
        <v/>
      </c>
      <c r="N102" s="25">
        <f>IF(ISNUMBER(H102),H102-C102,"")</f>
        <v/>
      </c>
      <c r="O102" s="6" t="inlineStr">
        <is>
          <t>stop-loss (Alpaca order)</t>
        </is>
      </c>
      <c r="P102" s="6" t="inlineStr">
        <is>
          <t>Closed</t>
        </is>
      </c>
    </row>
    <row r="103">
      <c r="A103" s="6" t="inlineStr">
        <is>
          <t>TENB</t>
        </is>
      </c>
      <c r="B103" s="6" t="inlineStr">
        <is>
          <t>Tenable Holdings, Inc. Common Stock</t>
        </is>
      </c>
      <c r="C103" s="22" t="n">
        <v>46325.62579861111</v>
      </c>
      <c r="D103" s="22" t="n">
        <v>46325.41746527778</v>
      </c>
      <c r="E103" s="17" t="n">
        <v>50.78</v>
      </c>
      <c r="F103" s="16" t="n">
        <v>34.46297755</v>
      </c>
      <c r="G103" s="17">
        <f>E103*F103</f>
        <v/>
      </c>
      <c r="H103" s="22" t="n">
        <v>46325.63377314815</v>
      </c>
      <c r="I103" s="22" t="n">
        <v>46325.42543981481</v>
      </c>
      <c r="J103" s="17" t="n">
        <v>49.54</v>
      </c>
      <c r="K103" s="17">
        <f>IF(ISNUMBER(J103),J103*F103,"")</f>
        <v/>
      </c>
      <c r="L103" s="23">
        <f>IF(ISNUMBER(J103),K103-G103,"")</f>
        <v/>
      </c>
      <c r="M103" s="24">
        <f>IF(ISNUMBER(J103),L103/G103,"")</f>
        <v/>
      </c>
      <c r="N103" s="25">
        <f>IF(ISNUMBER(H103),H103-C103,"")</f>
        <v/>
      </c>
      <c r="O103" s="6" t="inlineStr">
        <is>
          <t>bad day</t>
        </is>
      </c>
      <c r="P103" s="6" t="inlineStr">
        <is>
          <t>Closed</t>
        </is>
      </c>
    </row>
    <row r="104">
      <c r="A104" s="6" t="inlineStr">
        <is>
          <t>DT</t>
        </is>
      </c>
      <c r="B104" s="6" t="inlineStr">
        <is>
          <t>Dynatrace, Inc.</t>
        </is>
      </c>
      <c r="C104" s="22" t="n">
        <v>46325.62979166667</v>
      </c>
      <c r="D104" s="22" t="n">
        <v>46325.42145833333</v>
      </c>
      <c r="E104" s="17" t="n">
        <v>58.74</v>
      </c>
      <c r="F104" s="16" t="n">
        <v>27.311201906</v>
      </c>
      <c r="G104" s="17">
        <f>E104*F104</f>
        <v/>
      </c>
      <c r="H104" s="22" t="n">
        <v>46325.63380787037</v>
      </c>
      <c r="I104" s="22" t="n">
        <v>46325.42547453703</v>
      </c>
      <c r="J104" s="17" t="n">
        <v>58.09293</v>
      </c>
      <c r="K104" s="17">
        <f>IF(ISNUMBER(J104),J104*F104,"")</f>
        <v/>
      </c>
      <c r="L104" s="23">
        <f>IF(ISNUMBER(J104),K104-G104,"")</f>
        <v/>
      </c>
      <c r="M104" s="24">
        <f>IF(ISNUMBER(J104),L104/G104,"")</f>
        <v/>
      </c>
      <c r="N104" s="25">
        <f>IF(ISNUMBER(H104),H104-C104,"")</f>
        <v/>
      </c>
      <c r="O104" s="6" t="inlineStr">
        <is>
          <t>bad day</t>
        </is>
      </c>
      <c r="P104" s="6" t="inlineStr">
        <is>
          <t>Closed</t>
        </is>
      </c>
    </row>
    <row r="105">
      <c r="A105" s="6" t="inlineStr">
        <is>
          <t>MA</t>
        </is>
      </c>
      <c r="B105" s="6" t="inlineStr">
        <is>
          <t>Mastercard Incorporated</t>
        </is>
      </c>
      <c r="C105" s="22" t="n">
        <v>46325.63377314815</v>
      </c>
      <c r="D105" s="22" t="n">
        <v>46325.42543981481</v>
      </c>
      <c r="E105" s="17" t="n">
        <v>635.34</v>
      </c>
      <c r="F105" s="16" t="n">
        <v>2.314697642</v>
      </c>
      <c r="G105" s="17">
        <f>E105*F105</f>
        <v/>
      </c>
      <c r="H105" s="22" t="n"/>
      <c r="I105" s="22" t="n"/>
      <c r="J105" s="17" t="n"/>
      <c r="K105" s="17">
        <f>IF(ISNUMBER(J105),J105*F105,"")</f>
        <v/>
      </c>
      <c r="L105" s="23">
        <f>IF(ISNUMBER(J105),K105-G105,"")</f>
        <v/>
      </c>
      <c r="M105" s="24">
        <f>IF(ISNUMBER(J105),L105/G105,"")</f>
        <v/>
      </c>
      <c r="N105" s="25">
        <f>IF(ISNUMBER(H105),H105-C105,"")</f>
        <v/>
      </c>
      <c r="O105" s="6" t="n"/>
      <c r="P105" s="6" t="inlineStr">
        <is>
          <t>Open</t>
        </is>
      </c>
    </row>
    <row r="106">
      <c r="A106" s="6" t="inlineStr">
        <is>
          <t>ULTA</t>
        </is>
      </c>
      <c r="B106" s="6" t="inlineStr">
        <is>
          <t>Ulta Beauty, Inc. Common Stock</t>
        </is>
      </c>
      <c r="C106" s="22" t="n">
        <v>46325.64648148148</v>
      </c>
      <c r="D106" s="22" t="n">
        <v>46325.43814814815</v>
      </c>
      <c r="E106" s="17" t="n">
        <v>639.1900000000001</v>
      </c>
      <c r="F106" s="16" t="n">
        <v>2.62602669</v>
      </c>
      <c r="G106" s="17">
        <f>E106*F106</f>
        <v/>
      </c>
      <c r="H106" s="22" t="n"/>
      <c r="I106" s="22" t="n"/>
      <c r="J106" s="17" t="n"/>
      <c r="K106" s="17">
        <f>IF(ISNUMBER(J106),J106*F106,"")</f>
        <v/>
      </c>
      <c r="L106" s="23">
        <f>IF(ISNUMBER(J106),K106-G106,"")</f>
        <v/>
      </c>
      <c r="M106" s="24">
        <f>IF(ISNUMBER(J106),L106/G106,"")</f>
        <v/>
      </c>
      <c r="N106" s="25">
        <f>IF(ISNUMBER(H106),H106-C106,"")</f>
        <v/>
      </c>
      <c r="O106" s="6" t="n"/>
      <c r="P106" s="6" t="inlineStr">
        <is>
          <t>Open</t>
        </is>
      </c>
    </row>
    <row r="107">
      <c r="A107" s="6" t="inlineStr">
        <is>
          <t>XOM</t>
        </is>
      </c>
      <c r="B107" s="6" t="inlineStr">
        <is>
          <t>ExxonMobil Holdings Corporation</t>
        </is>
      </c>
      <c r="C107" s="22" t="n">
        <v>46325.6675</v>
      </c>
      <c r="D107" s="22" t="n">
        <v>46325.45916666667</v>
      </c>
      <c r="E107" s="17" t="n">
        <v>184.89</v>
      </c>
      <c r="F107" s="16" t="n">
        <v>8.322299745</v>
      </c>
      <c r="G107" s="17">
        <f>E107*F107</f>
        <v/>
      </c>
      <c r="H107" s="22" t="n"/>
      <c r="I107" s="22" t="n"/>
      <c r="J107" s="17" t="n"/>
      <c r="K107" s="17">
        <f>IF(ISNUMBER(J107),J107*F107,"")</f>
        <v/>
      </c>
      <c r="L107" s="23">
        <f>IF(ISNUMBER(J107),K107-G107,"")</f>
        <v/>
      </c>
      <c r="M107" s="24">
        <f>IF(ISNUMBER(J107),L107/G107,"")</f>
        <v/>
      </c>
      <c r="N107" s="25">
        <f>IF(ISNUMBER(H107),H107-C107,"")</f>
        <v/>
      </c>
      <c r="O107" s="6" t="n"/>
      <c r="P107" s="6" t="inlineStr">
        <is>
          <t>Open</t>
        </is>
      </c>
    </row>
  </sheetData>
  <conditionalFormatting sqref="L2:M107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2026-10-30T17:57:26Z</dcterms:created>
  <dcterms:modified xsi:type="dcterms:W3CDTF">2026-10-30T17:57:26Z</dcterms:modified>
</cp:coreProperties>
</file>