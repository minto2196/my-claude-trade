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70" headerRowCount="1">
  <autoFilter ref="A1:BA170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2" headerRowCount="1">
  <autoFilter ref="A1:P102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46325.62128472222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46325.41295138889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COUNTIF(Orders!$E$2:$E$170,"BUY")+COUNTIF(Orders!$E$2:$E$170,"SELL")</f>
        <v/>
      </c>
    </row>
    <row r="9">
      <c r="A9" s="6" t="inlineStr">
        <is>
          <t>Buy orders</t>
        </is>
      </c>
      <c r="B9" s="7">
        <f>COUNTIF(Orders!$E$2:$E$170,"BUY")</f>
        <v/>
      </c>
    </row>
    <row r="10">
      <c r="A10" s="6" t="inlineStr">
        <is>
          <t>Sell orders</t>
        </is>
      </c>
      <c r="B10" s="7">
        <f>COUNTIF(Orders!$E$2:$E$170,"SELL")</f>
        <v/>
      </c>
    </row>
    <row r="11">
      <c r="A11" s="6" t="inlineStr">
        <is>
          <t>Filled orders</t>
        </is>
      </c>
      <c r="B11" s="7">
        <f>COUNTIF(Orders!$I$2:$I$170,"filled")</f>
        <v/>
      </c>
    </row>
    <row r="12">
      <c r="A12" s="6" t="inlineStr">
        <is>
          <t>Total bought $</t>
        </is>
      </c>
      <c r="B12" s="8">
        <f>SUMIFS(Orders!$L$2:$L$170,Orders!$E$2:$E$170,"BUY")</f>
        <v/>
      </c>
    </row>
    <row r="13">
      <c r="A13" s="6" t="inlineStr">
        <is>
          <t>Total sold $</t>
        </is>
      </c>
      <c r="B13" s="8">
        <f>SUMIFS(Orders!$L$2:$L$170,Orders!$E$2:$E$170,"SELL")</f>
        <v/>
      </c>
    </row>
    <row r="14">
      <c r="A14" s="6" t="inlineStr">
        <is>
          <t>Closed round trips</t>
        </is>
      </c>
      <c r="B14" s="7">
        <f>COUNTIF('Round trips'!$P$2:$P$102,"Closed")</f>
        <v/>
      </c>
    </row>
    <row r="15">
      <c r="A15" s="6" t="inlineStr">
        <is>
          <t>Open lots</t>
        </is>
      </c>
      <c r="B15" s="7">
        <f>COUNTIF('Round trips'!$P$2:$P$102,"Open")</f>
        <v/>
      </c>
    </row>
    <row r="16">
      <c r="A16" s="6" t="inlineStr">
        <is>
          <t>Realized P/L $</t>
        </is>
      </c>
      <c r="B16" s="9">
        <f>SUM('Round trips'!$L$2:$L$102)</f>
        <v/>
      </c>
    </row>
    <row r="17">
      <c r="A17" s="6" t="inlineStr">
        <is>
          <t>Winning round trips</t>
        </is>
      </c>
      <c r="B17" s="7">
        <f>COUNTIFS('Round trips'!$P$2:$P$102,"Closed",'Round trips'!$L$2:$L$102,"&gt;0")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70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46325.6212037037</v>
      </c>
      <c r="C170" s="13" t="n">
        <v>46325.41287037037</v>
      </c>
      <c r="D170" s="13" t="n">
        <v>46325.57953703704</v>
      </c>
      <c r="E170" s="21" t="inlineStr">
        <is>
          <t>SELL</t>
        </is>
      </c>
      <c r="F170" s="6" t="inlineStr">
        <is>
          <t>AVTR</t>
        </is>
      </c>
      <c r="G170" s="15" t="inlineStr">
        <is>
          <t>AVTR</t>
        </is>
      </c>
      <c r="H170" s="6" t="inlineStr">
        <is>
          <t>NYSE</t>
        </is>
      </c>
      <c r="I170" s="6" t="inlineStr">
        <is>
          <t>filled</t>
        </is>
      </c>
      <c r="J170" s="16" t="n">
        <v>506</v>
      </c>
      <c r="K170" s="17" t="n">
        <v>16.09581</v>
      </c>
      <c r="L170" s="17">
        <f>IF(AND(ISNUMBER(J170),ISNUMBER(K170)),J170*K170,"")</f>
        <v/>
      </c>
      <c r="M170" s="17" t="n"/>
      <c r="N170" s="16" t="n">
        <v>506</v>
      </c>
      <c r="O170" s="6" t="inlineStr">
        <is>
          <t>bad day</t>
        </is>
      </c>
      <c r="P170" s="15" t="inlineStr">
        <is>
          <t>Bad day: down 3.6% today and only 4 of 5 green</t>
        </is>
      </c>
      <c r="Q170" s="12" t="n">
        <v>4</v>
      </c>
      <c r="R170" s="6" t="inlineStr">
        <is>
          <t>ok</t>
        </is>
      </c>
      <c r="S170" s="18" t="n">
        <v>0.823</v>
      </c>
      <c r="T170" s="12" t="n">
        <v>62</v>
      </c>
      <c r="U170" s="19" t="n">
        <v>0.0453</v>
      </c>
      <c r="V170" s="19" t="n">
        <v>0.2893</v>
      </c>
      <c r="W170" s="12" t="n"/>
      <c r="X170" s="6" t="inlineStr">
        <is>
          <t>ok</t>
        </is>
      </c>
      <c r="Y170" s="19" t="n">
        <v>0.0005999999999999999</v>
      </c>
      <c r="Z170" s="6" t="inlineStr">
        <is>
          <t>ok</t>
        </is>
      </c>
      <c r="AA170" s="12" t="n">
        <v>100</v>
      </c>
      <c r="AB170" s="15" t="n"/>
      <c r="AC170" s="6" t="inlineStr">
        <is>
          <t>ok</t>
        </is>
      </c>
      <c r="AD170" s="6" t="inlineStr">
        <is>
          <t>up</t>
        </is>
      </c>
      <c r="AE170" s="17" t="n">
        <v>16.4138</v>
      </c>
      <c r="AF170" s="17" t="n">
        <v>15.7543</v>
      </c>
      <c r="AG170" s="17" t="n">
        <v>17.0734</v>
      </c>
      <c r="AH170" s="20" t="n">
        <v>46332</v>
      </c>
      <c r="AI170" s="18" t="n">
        <v>0.55</v>
      </c>
      <c r="AJ170" s="6" t="inlineStr">
        <is>
          <t>alert</t>
        </is>
      </c>
      <c r="AK170" s="12" t="n">
        <v>10</v>
      </c>
      <c r="AL170" s="15" t="inlineStr">
        <is>
          <t>Avantor Q3 2026 Earnings Call Transcript</t>
        </is>
      </c>
      <c r="AM170" s="17" t="n">
        <v>16.155</v>
      </c>
      <c r="AN170" s="19" t="n">
        <v>-0.0315</v>
      </c>
      <c r="AO170" s="17" t="n">
        <v>99175.84</v>
      </c>
      <c r="AP170" s="17" t="n">
        <v>12864.5</v>
      </c>
      <c r="AQ170" s="19" t="n">
        <v>0.0833</v>
      </c>
      <c r="AR170" s="16" t="n">
        <v>506</v>
      </c>
      <c r="AS170" s="17" t="n">
        <v>16.368458</v>
      </c>
      <c r="AT170" s="19" t="n">
        <v>-0.0176</v>
      </c>
      <c r="AU170" s="6" t="inlineStr">
        <is>
          <t>paper</t>
        </is>
      </c>
      <c r="AV170" s="6" t="inlineStr">
        <is>
          <t>5a2aff3f-e025-4347-b4bc-5b807d79a3dd</t>
        </is>
      </c>
      <c r="AW170" s="6" t="inlineStr">
        <is>
          <t>tdagent-sell-AVTR-1793368471561</t>
        </is>
      </c>
      <c r="AX170" s="13" t="n">
        <v>46325.57952546296</v>
      </c>
      <c r="AY170" s="13" t="n">
        <v>46325.57953703704</v>
      </c>
      <c r="AZ170" s="13" t="n">
        <v>46325.57931712963</v>
      </c>
      <c r="BA170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/>
      <c r="I96" s="22" t="n"/>
      <c r="J96" s="17" t="n"/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n"/>
      <c r="P96" s="6" t="inlineStr">
        <is>
          <t>Open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/>
      <c r="I102" s="22" t="n"/>
      <c r="J102" s="17" t="n"/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n"/>
      <c r="P102" s="6" t="inlineStr">
        <is>
          <t>Open</t>
        </is>
      </c>
    </row>
  </sheetData>
  <conditionalFormatting sqref="L2:M102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2026-10-30T13:54:39Z</dcterms:created>
  <dcterms:modified xsi:type="dcterms:W3CDTF">2026-10-30T13:54:39Z</dcterms:modified>
</cp:coreProperties>
</file>