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Orders" sheetId="2" state="visible" r:id="rId2"/>
    <sheet name="Round trips" sheetId="3" state="visible" r:id="rId3"/>
    <sheet name="Rul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yyyy-mm-dd h:mm:ss"/>
    <numFmt numFmtId="165" formatCode="yyyy-mm-dd hh:mm:ss"/>
    <numFmt numFmtId="166" formatCode="0.000000"/>
    <numFmt numFmtId="167" formatCode="$#,##0.00"/>
    <numFmt numFmtId="168" formatCode="yyyy-mm-dd"/>
    <numFmt numFmtId="169" formatCode="yyyy-mm-dd hh:mm"/>
    <numFmt numFmtId="170" formatCode="$#,##0.00;[Red]-$#,##0.00"/>
    <numFmt numFmtId="171" formatCode="0.00%;[Red]-0.00%"/>
    <numFmt numFmtId="172" formatCode="0.0"/>
    <numFmt numFmtId="173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2805C"/>
      <sz val="10"/>
    </font>
    <font>
      <name val="Arial"/>
      <b val="1"/>
      <color rgb="00C2362F"/>
      <sz val="10"/>
    </font>
    <font>
      <name val="Arial"/>
      <b val="1"/>
      <color rgb="00132130"/>
      <sz val="16"/>
    </font>
    <font>
      <name val="Arial"/>
      <color rgb="00627284"/>
      <sz val="10"/>
    </font>
    <font>
      <name val="Arial"/>
      <b val="1"/>
      <sz val="10"/>
    </font>
    <font>
      <name val="Arial"/>
      <i val="1"/>
      <color rgb="00627284"/>
      <sz val="9"/>
    </font>
  </fonts>
  <fills count="3">
    <fill>
      <patternFill/>
    </fill>
    <fill>
      <patternFill patternType="gray125"/>
    </fill>
    <fill>
      <patternFill patternType="solid">
        <fgColor rgb="000D6E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5" fontId="7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" fontId="7" fillId="0" borderId="0" pivotButton="0" quotePrefix="0" xfId="0"/>
    <xf numFmtId="167" fontId="7" fillId="0" borderId="0" pivotButton="0" quotePrefix="0" xfId="0"/>
    <xf numFmtId="170" fontId="7" fillId="0" borderId="0" pivotButton="0" quotePrefix="0" xfId="0"/>
    <xf numFmtId="173" fontId="7" fillId="0" borderId="0" pivotButton="0" quotePrefix="0" xfId="0"/>
    <xf numFmtId="0" fontId="8" fillId="0" borderId="0" pivotButton="0" quotePrefix="0" xfId="0"/>
    <xf numFmtId="1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/>
    </xf>
    <xf numFmtId="166" fontId="2" fillId="0" borderId="0" pivotButton="0" quotePrefix="0" xfId="0"/>
    <xf numFmtId="167" fontId="2" fillId="0" borderId="0" pivotButton="0" quotePrefix="0" xfId="0"/>
    <xf numFmtId="9" fontId="2" fillId="0" borderId="0" pivotButton="0" quotePrefix="0" xfId="0"/>
    <xf numFmtId="10" fontId="2" fillId="0" borderId="0" pivotButton="0" quotePrefix="0" xfId="0"/>
    <xf numFmtId="168" fontId="2" fillId="0" borderId="0" pivotButton="0" quotePrefix="0" xfId="0"/>
    <xf numFmtId="0" fontId="4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171" fontId="2" fillId="0" borderId="0" pivotButton="0" quotePrefix="0" xfId="0"/>
    <xf numFmtId="172" fontId="2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name val="Arial"/>
        <color rgb="0012805C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Orders" displayName="Orders" ref="A1:BA19" headerRowCount="1">
  <autoFilter ref="A1:BA19"/>
  <tableColumns count="53">
    <tableColumn id="1" name="No"/>
    <tableColumn id="2" name="Time Berlin"/>
    <tableColumn id="3" name="Time New York"/>
    <tableColumn id="4" name="Time UTC"/>
    <tableColumn id="5" name="Side"/>
    <tableColumn id="6" name="Symbol"/>
    <tableColumn id="7" name="Company"/>
    <tableColumn id="8" name="Exchange"/>
    <tableColumn id="9" name="Status"/>
    <tableColumn id="10" name="Qty filled"/>
    <tableColumn id="11" name="Avg fill price $"/>
    <tableColumn id="12" name="Fill value $"/>
    <tableColumn id="13" name="Requested $"/>
    <tableColumn id="14" name="Requested qty"/>
    <tableColumn id="15" name="Rule"/>
    <tableColumn id="16" name="Reason"/>
    <tableColumn id="17" name="Greens (of 5)"/>
    <tableColumn id="18" name="Time machine"/>
    <tableColumn id="19" name="TM hit rate"/>
    <tableColumn id="20" name="TM green days"/>
    <tableColumn id="21" name="TM avg 5-day %"/>
    <tableColumn id="22" name="Master switch 6-mo return %"/>
    <tableColumn id="23" name="Agent rank"/>
    <tableColumn id="24" name="1 Data real"/>
    <tableColumn id="25" name="Source spread %"/>
    <tableColumn id="26" name="2 Organic"/>
    <tableColumn id="27" name="Organic score"/>
    <tableColumn id="28" name="Organic flags"/>
    <tableColumn id="29" name="3 Prediction"/>
    <tableColumn id="30" name="Call"/>
    <tableColumn id="31" name="Target $"/>
    <tableColumn id="32" name="Range low $"/>
    <tableColumn id="33" name="Range high $"/>
    <tableColumn id="34" name="Call due"/>
    <tableColumn id="35" name="Confidence"/>
    <tableColumn id="36" name="4 News"/>
    <tableColumn id="37" name="Headlines (72h)"/>
    <tableColumn id="38" name="Top headline"/>
    <tableColumn id="39" name="Price at decision $"/>
    <tableColumn id="40" name="Move today %"/>
    <tableColumn id="41" name="Account equity before $"/>
    <tableColumn id="42" name="Cash before $"/>
    <tableColumn id="43" name="Slot %"/>
    <tableColumn id="44" name="Position qty before"/>
    <tableColumn id="45" name="Avg entry before $"/>
    <tableColumn id="46" name="P/L % before"/>
    <tableColumn id="47" name="Account"/>
    <tableColumn id="48" name="Order ID"/>
    <tableColumn id="49" name="Client order ID"/>
    <tableColumn id="50" name="Decided at (UTC)"/>
    <tableColumn id="51" name="Filled at (UTC)"/>
    <tableColumn id="52" name="Agent run (UTC)"/>
    <tableColumn id="53" name="Error"/>
  </tableColumns>
  <tableStyleInfo name="TableStyleLight9" showRowStripes="1"/>
</table>
</file>

<file path=xl/tables/table2.xml><?xml version="1.0" encoding="utf-8"?>
<table xmlns="http://schemas.openxmlformats.org/spreadsheetml/2006/main" id="2" name="RoundTrips" displayName="RoundTrips" ref="A1:P17" headerRowCount="1">
  <autoFilter ref="A1:P17"/>
  <tableColumns count="16">
    <tableColumn id="1" name="Symbol"/>
    <tableColumn id="2" name="Company"/>
    <tableColumn id="3" name="Bought (Berlin)"/>
    <tableColumn id="4" name="Bought (New York)"/>
    <tableColumn id="5" name="Buy price $"/>
    <tableColumn id="6" name="Qty"/>
    <tableColumn id="7" name="Cost $"/>
    <tableColumn id="8" name="Sold (Berlin)"/>
    <tableColumn id="9" name="Sold (New York)"/>
    <tableColumn id="10" name="Sell price $"/>
    <tableColumn id="11" name="Proceeds $"/>
    <tableColumn id="12" name="P/L $"/>
    <tableColumn id="13" name="P/L %"/>
    <tableColumn id="14" name="Days held"/>
    <tableColumn id="15" name="Exit rule"/>
    <tableColumn id="16" name="Status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</cols>
  <sheetData>
    <row r="1">
      <c r="A1" s="1" t="inlineStr">
        <is>
          <t>Trade Journal · Week 44 · 2026</t>
        </is>
      </c>
    </row>
    <row r="2">
      <c r="A2" s="2" t="inlineStr">
        <is>
          <t>Generated (Berlin)</t>
        </is>
      </c>
      <c r="B2" s="3" t="n">
        <v>46323.60902777778</v>
      </c>
      <c r="C2" s="2" t="inlineStr">
        <is>
          <t>Period</t>
        </is>
      </c>
      <c r="D2" s="4" t="inlineStr">
        <is>
          <t>Mon 26 Oct 2026 to Sun 01 Nov 2026 (New York dates)</t>
        </is>
      </c>
    </row>
    <row r="3">
      <c r="A3" s="2" t="inlineStr">
        <is>
          <t>Generated (New York)</t>
        </is>
      </c>
      <c r="B3" s="3" t="n">
        <v>46323.40069444444</v>
      </c>
    </row>
    <row r="4">
      <c r="A4" s="2" t="inlineStr">
        <is>
          <t>Account</t>
        </is>
      </c>
      <c r="B4" s="4" t="inlineStr">
        <is>
          <t>Paper (practice money)</t>
        </is>
      </c>
    </row>
    <row r="5">
      <c r="A5" s="2" t="inlineStr">
        <is>
          <t>Auto-trader switch</t>
        </is>
      </c>
      <c r="B5" s="4" t="inlineStr">
        <is>
          <t>ON</t>
        </is>
      </c>
    </row>
    <row r="7" ht="30" customHeight="1">
      <c r="A7" s="5" t="inlineStr">
        <is>
          <t>Measure</t>
        </is>
      </c>
      <c r="B7" s="5" t="inlineStr">
        <is>
          <t>Value</t>
        </is>
      </c>
    </row>
    <row r="8">
      <c r="A8" s="6" t="inlineStr">
        <is>
          <t>Orders placed</t>
        </is>
      </c>
      <c r="B8" s="7">
        <f>COUNTIF(Orders!$E$2:$E$19,"BUY")+COUNTIF(Orders!$E$2:$E$19,"SELL")</f>
        <v/>
      </c>
    </row>
    <row r="9">
      <c r="A9" s="6" t="inlineStr">
        <is>
          <t>Buy orders</t>
        </is>
      </c>
      <c r="B9" s="7">
        <f>COUNTIF(Orders!$E$2:$E$19,"BUY")</f>
        <v/>
      </c>
    </row>
    <row r="10">
      <c r="A10" s="6" t="inlineStr">
        <is>
          <t>Sell orders</t>
        </is>
      </c>
      <c r="B10" s="7">
        <f>COUNTIF(Orders!$E$2:$E$19,"SELL")</f>
        <v/>
      </c>
    </row>
    <row r="11">
      <c r="A11" s="6" t="inlineStr">
        <is>
          <t>Filled orders</t>
        </is>
      </c>
      <c r="B11" s="7">
        <f>COUNTIF(Orders!$I$2:$I$19,"filled")</f>
        <v/>
      </c>
    </row>
    <row r="12">
      <c r="A12" s="6" t="inlineStr">
        <is>
          <t>Total bought $</t>
        </is>
      </c>
      <c r="B12" s="8">
        <f>SUMIFS(Orders!$L$2:$L$19,Orders!$E$2:$E$19,"BUY")</f>
        <v/>
      </c>
    </row>
    <row r="13">
      <c r="A13" s="6" t="inlineStr">
        <is>
          <t>Total sold $</t>
        </is>
      </c>
      <c r="B13" s="8">
        <f>SUMIFS(Orders!$L$2:$L$19,Orders!$E$2:$E$19,"SELL")</f>
        <v/>
      </c>
    </row>
    <row r="14">
      <c r="A14" s="6" t="inlineStr">
        <is>
          <t>Closed round trips</t>
        </is>
      </c>
      <c r="B14" s="7">
        <f>COUNTIF('Round trips'!$P$2:$P$17,"Closed")</f>
        <v/>
      </c>
    </row>
    <row r="15">
      <c r="A15" s="6" t="inlineStr">
        <is>
          <t>Open lots</t>
        </is>
      </c>
      <c r="B15" s="7">
        <f>COUNTIF('Round trips'!$P$2:$P$17,"Open")</f>
        <v/>
      </c>
    </row>
    <row r="16">
      <c r="A16" s="6" t="inlineStr">
        <is>
          <t>Realized P/L $</t>
        </is>
      </c>
      <c r="B16" s="9">
        <f>SUM('Round trips'!$L$2:$L$17)</f>
        <v/>
      </c>
    </row>
    <row r="17">
      <c r="A17" s="6" t="inlineStr">
        <is>
          <t>Winning round trips</t>
        </is>
      </c>
      <c r="B17" s="7">
        <f>COUNTIFS('Round trips'!$P$2:$P$17,"Closed",'Round trips'!$L$2:$L$17,"&gt;0")</f>
        <v/>
      </c>
    </row>
    <row r="18">
      <c r="A18" s="6" t="inlineStr">
        <is>
          <t>Win rate</t>
        </is>
      </c>
      <c r="B18" s="10">
        <f>IFERROR(B17/B14,0)</f>
        <v/>
      </c>
    </row>
    <row r="20">
      <c r="A20" s="11" t="inlineStr">
        <is>
          <t>Times: New York is the exchange clock; Berlin is your local time. Round trips match buys to sells first-in-first-out.</t>
        </is>
      </c>
    </row>
    <row r="21">
      <c r="A21" s="11" t="inlineStr">
        <is>
          <t>Source: Alpaca order data recorded by the auto-trader at the moment each order was placed.</t>
        </is>
      </c>
    </row>
  </sheetData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A19"/>
  <sheetViews>
    <sheetView showGridLines="1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9" customWidth="1" min="2" max="2"/>
    <col width="19" customWidth="1" min="3" max="3"/>
    <col width="19" customWidth="1" min="4" max="4"/>
    <col width="7" customWidth="1" min="5" max="5"/>
    <col width="9" customWidth="1" min="6" max="6"/>
    <col width="28" customWidth="1" min="7" max="7"/>
    <col width="10" customWidth="1" min="8" max="8"/>
    <col width="11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8" customWidth="1" min="15" max="15"/>
    <col width="40" customWidth="1" min="16" max="16"/>
    <col width="9" customWidth="1" min="17" max="17"/>
    <col width="11" customWidth="1" min="18" max="18"/>
    <col width="9" customWidth="1" min="19" max="19"/>
    <col width="9" customWidth="1" min="20" max="20"/>
    <col width="10" customWidth="1" min="21" max="21"/>
    <col width="12" customWidth="1" min="22" max="22"/>
    <col width="8" customWidth="1" min="23" max="23"/>
    <col width="10" customWidth="1" min="24" max="24"/>
    <col width="10" customWidth="1" min="25" max="25"/>
    <col width="10" customWidth="1" min="26" max="26"/>
    <col width="9" customWidth="1" min="27" max="27"/>
    <col width="40" customWidth="1" min="28" max="28"/>
    <col width="11" customWidth="1" min="29" max="29"/>
    <col width="7" customWidth="1" min="30" max="30"/>
    <col width="11" customWidth="1" min="31" max="31"/>
    <col width="11" customWidth="1" min="32" max="32"/>
    <col width="11" customWidth="1" min="33" max="33"/>
    <col width="11" customWidth="1" min="34" max="34"/>
    <col width="10" customWidth="1" min="35" max="35"/>
    <col width="9" customWidth="1" min="36" max="36"/>
    <col width="9" customWidth="1" min="37" max="37"/>
    <col width="44" customWidth="1" min="38" max="38"/>
    <col width="13" customWidth="1" min="39" max="39"/>
    <col width="10" customWidth="1" min="40" max="40"/>
    <col width="15" customWidth="1" min="41" max="41"/>
    <col width="13" customWidth="1" min="42" max="42"/>
    <col width="8" customWidth="1" min="43" max="43"/>
    <col width="12" customWidth="1" min="44" max="44"/>
    <col width="13" customWidth="1" min="45" max="45"/>
    <col width="10" customWidth="1" min="46" max="46"/>
    <col width="8" customWidth="1" min="47" max="47"/>
    <col width="38" customWidth="1" min="48" max="48"/>
    <col width="40" customWidth="1" min="49" max="49"/>
    <col width="19" customWidth="1" min="50" max="50"/>
    <col width="19" customWidth="1" min="51" max="51"/>
    <col width="19" customWidth="1" min="52" max="52"/>
    <col width="40" customWidth="1" min="53" max="53"/>
  </cols>
  <sheetData>
    <row r="1" ht="30" customHeight="1">
      <c r="A1" s="5" t="inlineStr">
        <is>
          <t>No</t>
        </is>
      </c>
      <c r="B1" s="5" t="inlineStr">
        <is>
          <t>Time Berlin</t>
        </is>
      </c>
      <c r="C1" s="5" t="inlineStr">
        <is>
          <t>Time New York</t>
        </is>
      </c>
      <c r="D1" s="5" t="inlineStr">
        <is>
          <t>Time UTC</t>
        </is>
      </c>
      <c r="E1" s="5" t="inlineStr">
        <is>
          <t>Side</t>
        </is>
      </c>
      <c r="F1" s="5" t="inlineStr">
        <is>
          <t>Symbol</t>
        </is>
      </c>
      <c r="G1" s="5" t="inlineStr">
        <is>
          <t>Company</t>
        </is>
      </c>
      <c r="H1" s="5" t="inlineStr">
        <is>
          <t>Exchange</t>
        </is>
      </c>
      <c r="I1" s="5" t="inlineStr">
        <is>
          <t>Status</t>
        </is>
      </c>
      <c r="J1" s="5" t="inlineStr">
        <is>
          <t>Qty filled</t>
        </is>
      </c>
      <c r="K1" s="5" t="inlineStr">
        <is>
          <t>Avg fill price $</t>
        </is>
      </c>
      <c r="L1" s="5" t="inlineStr">
        <is>
          <t>Fill value $</t>
        </is>
      </c>
      <c r="M1" s="5" t="inlineStr">
        <is>
          <t>Requested $</t>
        </is>
      </c>
      <c r="N1" s="5" t="inlineStr">
        <is>
          <t>Requested qty</t>
        </is>
      </c>
      <c r="O1" s="5" t="inlineStr">
        <is>
          <t>Rule</t>
        </is>
      </c>
      <c r="P1" s="5" t="inlineStr">
        <is>
          <t>Reason</t>
        </is>
      </c>
      <c r="Q1" s="5" t="inlineStr">
        <is>
          <t>Greens (of 5)</t>
        </is>
      </c>
      <c r="R1" s="5" t="inlineStr">
        <is>
          <t>Time machine</t>
        </is>
      </c>
      <c r="S1" s="5" t="inlineStr">
        <is>
          <t>TM hit rate</t>
        </is>
      </c>
      <c r="T1" s="5" t="inlineStr">
        <is>
          <t>TM green days</t>
        </is>
      </c>
      <c r="U1" s="5" t="inlineStr">
        <is>
          <t>TM avg 5-day %</t>
        </is>
      </c>
      <c r="V1" s="5" t="inlineStr">
        <is>
          <t>Master switch 6-mo return %</t>
        </is>
      </c>
      <c r="W1" s="5" t="inlineStr">
        <is>
          <t>Agent rank</t>
        </is>
      </c>
      <c r="X1" s="5" t="inlineStr">
        <is>
          <t>1 Data real</t>
        </is>
      </c>
      <c r="Y1" s="5" t="inlineStr">
        <is>
          <t>Source spread %</t>
        </is>
      </c>
      <c r="Z1" s="5" t="inlineStr">
        <is>
          <t>2 Organic</t>
        </is>
      </c>
      <c r="AA1" s="5" t="inlineStr">
        <is>
          <t>Organic score</t>
        </is>
      </c>
      <c r="AB1" s="5" t="inlineStr">
        <is>
          <t>Organic flags</t>
        </is>
      </c>
      <c r="AC1" s="5" t="inlineStr">
        <is>
          <t>3 Prediction</t>
        </is>
      </c>
      <c r="AD1" s="5" t="inlineStr">
        <is>
          <t>Call</t>
        </is>
      </c>
      <c r="AE1" s="5" t="inlineStr">
        <is>
          <t>Target $</t>
        </is>
      </c>
      <c r="AF1" s="5" t="inlineStr">
        <is>
          <t>Range low $</t>
        </is>
      </c>
      <c r="AG1" s="5" t="inlineStr">
        <is>
          <t>Range high $</t>
        </is>
      </c>
      <c r="AH1" s="5" t="inlineStr">
        <is>
          <t>Call due</t>
        </is>
      </c>
      <c r="AI1" s="5" t="inlineStr">
        <is>
          <t>Confidence</t>
        </is>
      </c>
      <c r="AJ1" s="5" t="inlineStr">
        <is>
          <t>4 News</t>
        </is>
      </c>
      <c r="AK1" s="5" t="inlineStr">
        <is>
          <t>Headlines (72h)</t>
        </is>
      </c>
      <c r="AL1" s="5" t="inlineStr">
        <is>
          <t>Top headline</t>
        </is>
      </c>
      <c r="AM1" s="5" t="inlineStr">
        <is>
          <t>Price at decision $</t>
        </is>
      </c>
      <c r="AN1" s="5" t="inlineStr">
        <is>
          <t>Move today %</t>
        </is>
      </c>
      <c r="AO1" s="5" t="inlineStr">
        <is>
          <t>Account equity before $</t>
        </is>
      </c>
      <c r="AP1" s="5" t="inlineStr">
        <is>
          <t>Cash before $</t>
        </is>
      </c>
      <c r="AQ1" s="5" t="inlineStr">
        <is>
          <t>Slot %</t>
        </is>
      </c>
      <c r="AR1" s="5" t="inlineStr">
        <is>
          <t>Position qty before</t>
        </is>
      </c>
      <c r="AS1" s="5" t="inlineStr">
        <is>
          <t>Avg entry before $</t>
        </is>
      </c>
      <c r="AT1" s="5" t="inlineStr">
        <is>
          <t>P/L % before</t>
        </is>
      </c>
      <c r="AU1" s="5" t="inlineStr">
        <is>
          <t>Account</t>
        </is>
      </c>
      <c r="AV1" s="5" t="inlineStr">
        <is>
          <t>Order ID</t>
        </is>
      </c>
      <c r="AW1" s="5" t="inlineStr">
        <is>
          <t>Client order ID</t>
        </is>
      </c>
      <c r="AX1" s="5" t="inlineStr">
        <is>
          <t>Decided at (UTC)</t>
        </is>
      </c>
      <c r="AY1" s="5" t="inlineStr">
        <is>
          <t>Filled at (UTC)</t>
        </is>
      </c>
      <c r="AZ1" s="5" t="inlineStr">
        <is>
          <t>Agent run (UTC)</t>
        </is>
      </c>
      <c r="BA1" s="5" t="inlineStr">
        <is>
          <t>Error</t>
        </is>
      </c>
    </row>
    <row r="2">
      <c r="A2" s="12" t="n">
        <v>1</v>
      </c>
      <c r="B2" s="13" t="n">
        <v>46322.71633101852</v>
      </c>
      <c r="C2" s="13" t="n">
        <v>46322.50799768518</v>
      </c>
      <c r="D2" s="13" t="n">
        <v>46322.67466435185</v>
      </c>
      <c r="E2" s="14" t="inlineStr">
        <is>
          <t>BUY</t>
        </is>
      </c>
      <c r="F2" s="6" t="inlineStr">
        <is>
          <t>TMO</t>
        </is>
      </c>
      <c r="G2" s="15" t="inlineStr">
        <is>
          <t>Thermo Fisher Scientific, Inc.</t>
        </is>
      </c>
      <c r="H2" s="6" t="inlineStr">
        <is>
          <t>NYSE</t>
        </is>
      </c>
      <c r="I2" s="6" t="inlineStr">
        <is>
          <t>filled</t>
        </is>
      </c>
      <c r="J2" s="16" t="n">
        <v>11.986804426</v>
      </c>
      <c r="K2" s="17" t="n">
        <v>694.9299999999999</v>
      </c>
      <c r="L2" s="17">
        <f>IF(AND(ISNUMBER(J2),ISNUMBER(K2)),J2*K2,"")</f>
        <v/>
      </c>
      <c r="M2" s="17" t="n">
        <v>8330</v>
      </c>
      <c r="N2" s="16" t="n"/>
      <c r="O2" s="6" t="inlineStr">
        <is>
          <t>4+/5 green</t>
        </is>
      </c>
      <c r="P2" s="15" t="inlineStr">
        <is>
          <t>5 of 5 green, time machine green, rank #1, 8.33% of the $100,000.00 account</t>
        </is>
      </c>
      <c r="Q2" s="12" t="n">
        <v>5</v>
      </c>
      <c r="R2" s="6" t="inlineStr">
        <is>
          <t>ok</t>
        </is>
      </c>
      <c r="S2" s="18" t="n">
        <v>0.667</v>
      </c>
      <c r="T2" s="12" t="n">
        <v>81</v>
      </c>
      <c r="U2" s="19" t="n">
        <v>0.0135</v>
      </c>
      <c r="V2" s="19" t="n">
        <v>-0.0173</v>
      </c>
      <c r="W2" s="12" t="n">
        <v>1</v>
      </c>
      <c r="X2" s="6" t="inlineStr">
        <is>
          <t>ok</t>
        </is>
      </c>
      <c r="Y2" s="19" t="n">
        <v>0.0005999999999999999</v>
      </c>
      <c r="Z2" s="6" t="inlineStr">
        <is>
          <t>ok</t>
        </is>
      </c>
      <c r="AA2" s="12" t="n">
        <v>100</v>
      </c>
      <c r="AB2" s="15" t="n"/>
      <c r="AC2" s="6" t="inlineStr">
        <is>
          <t>ok</t>
        </is>
      </c>
      <c r="AD2" s="6" t="inlineStr">
        <is>
          <t>up</t>
        </is>
      </c>
      <c r="AE2" s="17" t="n">
        <v>704.5304</v>
      </c>
      <c r="AF2" s="17" t="n">
        <v>679.4169000000001</v>
      </c>
      <c r="AG2" s="17" t="n">
        <v>729.644</v>
      </c>
      <c r="AH2" s="20" t="n">
        <v>46329</v>
      </c>
      <c r="AI2" s="18" t="n">
        <v>0.54</v>
      </c>
      <c r="AJ2" s="6" t="inlineStr">
        <is>
          <t>ok</t>
        </is>
      </c>
      <c r="AK2" s="12" t="n">
        <v>1</v>
      </c>
      <c r="AL2" s="15" t="inlineStr">
        <is>
          <t>Thermo Fisher Scientific Experts to Host Webinar on Clario Endpoint Data Solutions</t>
        </is>
      </c>
      <c r="AM2" s="17" t="n">
        <v>694.485</v>
      </c>
      <c r="AN2" s="19" t="n">
        <v>0.0141</v>
      </c>
      <c r="AO2" s="17" t="n">
        <v>100000</v>
      </c>
      <c r="AP2" s="17" t="n">
        <v>100000</v>
      </c>
      <c r="AQ2" s="19" t="n">
        <v>0.0833</v>
      </c>
      <c r="AR2" s="16" t="n"/>
      <c r="AS2" s="17" t="n"/>
      <c r="AT2" s="19" t="n"/>
      <c r="AU2" s="6" t="inlineStr">
        <is>
          <t>paper</t>
        </is>
      </c>
      <c r="AV2" s="6" t="inlineStr">
        <is>
          <t>a17cede0-0466-4ec2-b2e1-ee5ddd1134cf</t>
        </is>
      </c>
      <c r="AW2" s="6" t="inlineStr">
        <is>
          <t>tdagent-buy-TMO-1793117490105</t>
        </is>
      </c>
      <c r="AX2" s="13" t="n">
        <v>46322.67465277778</v>
      </c>
      <c r="AY2" s="13" t="n">
        <v>46322.67466435185</v>
      </c>
      <c r="AZ2" s="13" t="n">
        <v>46322.67446759259</v>
      </c>
      <c r="BA2" s="6" t="n"/>
    </row>
    <row r="3">
      <c r="A3" s="12" t="n">
        <v>2</v>
      </c>
      <c r="B3" s="13" t="n">
        <v>46322.79560185185</v>
      </c>
      <c r="C3" s="13" t="n">
        <v>46322.58726851852</v>
      </c>
      <c r="D3" s="13" t="n">
        <v>46322.75393518519</v>
      </c>
      <c r="E3" s="14" t="inlineStr">
        <is>
          <t>BUY</t>
        </is>
      </c>
      <c r="F3" s="6" t="inlineStr">
        <is>
          <t>SHEL</t>
        </is>
      </c>
      <c r="G3" s="15" t="inlineStr">
        <is>
          <t>Shell plc American Depositary Shares (Each represents two Ordinary shares)</t>
        </is>
      </c>
      <c r="H3" s="6" t="inlineStr">
        <is>
          <t>NYSE</t>
        </is>
      </c>
      <c r="I3" s="6" t="inlineStr">
        <is>
          <t>filled</t>
        </is>
      </c>
      <c r="J3" s="16" t="n">
        <v>79.41675402600001</v>
      </c>
      <c r="K3" s="17" t="n">
        <v>104.93</v>
      </c>
      <c r="L3" s="17">
        <f>IF(AND(ISNUMBER(J3),ISNUMBER(K3)),J3*K3,"")</f>
        <v/>
      </c>
      <c r="M3" s="17" t="n">
        <v>8333.209999999999</v>
      </c>
      <c r="N3" s="16" t="n"/>
      <c r="O3" s="6" t="inlineStr">
        <is>
          <t>4+/5 green</t>
        </is>
      </c>
      <c r="P3" s="15" t="inlineStr">
        <is>
          <t>5 of 5 green, time machine green, rank #1, 8.33% of the $100,038.60 account</t>
        </is>
      </c>
      <c r="Q3" s="12" t="n">
        <v>5</v>
      </c>
      <c r="R3" s="6" t="inlineStr">
        <is>
          <t>ok</t>
        </is>
      </c>
      <c r="S3" s="18" t="n">
        <v>0.652</v>
      </c>
      <c r="T3" s="12" t="n">
        <v>92</v>
      </c>
      <c r="U3" s="19" t="n">
        <v>0.0121</v>
      </c>
      <c r="V3" s="19" t="n">
        <v>-0.0173</v>
      </c>
      <c r="W3" s="12" t="n">
        <v>1</v>
      </c>
      <c r="X3" s="6" t="inlineStr">
        <is>
          <t>ok</t>
        </is>
      </c>
      <c r="Y3" s="19" t="n">
        <v>0</v>
      </c>
      <c r="Z3" s="6" t="inlineStr">
        <is>
          <t>ok</t>
        </is>
      </c>
      <c r="AA3" s="12" t="n">
        <v>100</v>
      </c>
      <c r="AB3" s="15" t="n"/>
      <c r="AC3" s="6" t="inlineStr">
        <is>
          <t>ok</t>
        </is>
      </c>
      <c r="AD3" s="6" t="inlineStr">
        <is>
          <t>up</t>
        </is>
      </c>
      <c r="AE3" s="17" t="n">
        <v>106.142</v>
      </c>
      <c r="AF3" s="17" t="n">
        <v>103.062</v>
      </c>
      <c r="AG3" s="17" t="n">
        <v>109.222</v>
      </c>
      <c r="AH3" s="20" t="n">
        <v>46329</v>
      </c>
      <c r="AI3" s="18" t="n">
        <v>0.58</v>
      </c>
      <c r="AJ3" s="6" t="inlineStr">
        <is>
          <t>ok</t>
        </is>
      </c>
      <c r="AK3" s="12" t="n">
        <v>3</v>
      </c>
      <c r="AL3" s="15" t="inlineStr">
        <is>
          <t>Shell plc Announces Share Buyback Transaction</t>
        </is>
      </c>
      <c r="AM3" s="17" t="n">
        <v>104.91</v>
      </c>
      <c r="AN3" s="19" t="n">
        <v>-0.0187</v>
      </c>
      <c r="AO3" s="17" t="n">
        <v>100038.6</v>
      </c>
      <c r="AP3" s="17" t="n">
        <v>91670.00999999999</v>
      </c>
      <c r="AQ3" s="19" t="n">
        <v>0.0833</v>
      </c>
      <c r="AR3" s="16" t="n"/>
      <c r="AS3" s="17" t="n"/>
      <c r="AT3" s="19" t="n"/>
      <c r="AU3" s="6" t="inlineStr">
        <is>
          <t>paper</t>
        </is>
      </c>
      <c r="AV3" s="6" t="inlineStr">
        <is>
          <t>12db7300-b65a-4371-a182-4bcc07ceda77</t>
        </is>
      </c>
      <c r="AW3" s="6" t="inlineStr">
        <is>
          <t>tdagent-buy-SHEL-1793124338749</t>
        </is>
      </c>
      <c r="AX3" s="13" t="n">
        <v>46322.75391203703</v>
      </c>
      <c r="AY3" s="13" t="n">
        <v>46322.75393518519</v>
      </c>
      <c r="AZ3" s="13" t="n">
        <v>46322.75368055556</v>
      </c>
      <c r="BA3" s="6" t="n"/>
    </row>
    <row r="4">
      <c r="A4" s="12" t="n">
        <v>3</v>
      </c>
      <c r="B4" s="13" t="n">
        <v>46322.8678125</v>
      </c>
      <c r="C4" s="13" t="n">
        <v>46322.65947916666</v>
      </c>
      <c r="D4" s="13" t="n">
        <v>46322.82614583334</v>
      </c>
      <c r="E4" s="21" t="inlineStr">
        <is>
          <t>SELL</t>
        </is>
      </c>
      <c r="F4" s="6" t="inlineStr">
        <is>
          <t>SHEL</t>
        </is>
      </c>
      <c r="G4" s="15" t="inlineStr">
        <is>
          <t>SHEL</t>
        </is>
      </c>
      <c r="H4" s="6" t="inlineStr">
        <is>
          <t>NYSE</t>
        </is>
      </c>
      <c r="I4" s="6" t="inlineStr">
        <is>
          <t>filled</t>
        </is>
      </c>
      <c r="J4" s="16" t="n">
        <v>79.41675402600001</v>
      </c>
      <c r="K4" s="17" t="n">
        <v>104.96</v>
      </c>
      <c r="L4" s="17">
        <f>IF(AND(ISNUMBER(J4),ISNUMBER(K4)),J4*K4,"")</f>
        <v/>
      </c>
      <c r="M4" s="17" t="n"/>
      <c r="N4" s="16" t="n">
        <v>79.41675402600001</v>
      </c>
      <c r="O4" s="6" t="inlineStr">
        <is>
          <t>evening under 5%</t>
        </is>
      </c>
      <c r="P4" s="15" t="inlineStr">
        <is>
          <t>Evening: +0.0% from the buy price (under +5%), sold 10 min before the close</t>
        </is>
      </c>
      <c r="Q4" s="12" t="n">
        <v>5</v>
      </c>
      <c r="R4" s="6" t="inlineStr">
        <is>
          <t>ok</t>
        </is>
      </c>
      <c r="S4" s="18" t="n">
        <v>0.652</v>
      </c>
      <c r="T4" s="12" t="n">
        <v>92</v>
      </c>
      <c r="U4" s="19" t="n">
        <v>0.0121</v>
      </c>
      <c r="V4" s="19" t="n">
        <v>-0.1111</v>
      </c>
      <c r="W4" s="12" t="n"/>
      <c r="X4" s="6" t="inlineStr">
        <is>
          <t>ok</t>
        </is>
      </c>
      <c r="Y4" s="19" t="n">
        <v>0.0001</v>
      </c>
      <c r="Z4" s="6" t="inlineStr">
        <is>
          <t>ok</t>
        </is>
      </c>
      <c r="AA4" s="12" t="n">
        <v>100</v>
      </c>
      <c r="AB4" s="15" t="n"/>
      <c r="AC4" s="6" t="inlineStr">
        <is>
          <t>ok</t>
        </is>
      </c>
      <c r="AD4" s="6" t="inlineStr">
        <is>
          <t>up</t>
        </is>
      </c>
      <c r="AE4" s="17" t="n">
        <v>106.1815</v>
      </c>
      <c r="AF4" s="17" t="n">
        <v>103.1027</v>
      </c>
      <c r="AG4" s="17" t="n">
        <v>109.2604</v>
      </c>
      <c r="AH4" s="20" t="n">
        <v>46329</v>
      </c>
      <c r="AI4" s="18" t="n">
        <v>0.58</v>
      </c>
      <c r="AJ4" s="6" t="inlineStr">
        <is>
          <t>ok</t>
        </is>
      </c>
      <c r="AK4" s="12" t="n">
        <v>5</v>
      </c>
      <c r="AL4" s="15" t="inlineStr">
        <is>
          <t>'Washington discusses Russian deals for US oil majors in Ukraine peace talks' - Financial Times</t>
        </is>
      </c>
      <c r="AM4" s="17" t="n">
        <v>104.94</v>
      </c>
      <c r="AN4" s="19" t="n">
        <v>-0.0183</v>
      </c>
      <c r="AO4" s="17" t="n">
        <v>100056.57</v>
      </c>
      <c r="AP4" s="17" t="n">
        <v>83336.81</v>
      </c>
      <c r="AQ4" s="19" t="n">
        <v>0.0833</v>
      </c>
      <c r="AR4" s="16" t="n">
        <v>79.41675402600001</v>
      </c>
      <c r="AS4" s="17" t="n">
        <v>104.93</v>
      </c>
      <c r="AT4" s="19" t="n">
        <v>0.0003</v>
      </c>
      <c r="AU4" s="6" t="inlineStr">
        <is>
          <t>paper</t>
        </is>
      </c>
      <c r="AV4" s="6" t="inlineStr">
        <is>
          <t>be781221-5b78-4809-97c9-dde0425348d5</t>
        </is>
      </c>
      <c r="AW4" s="6" t="inlineStr">
        <is>
          <t>tdagent-sell-SHEL-1793130578234</t>
        </is>
      </c>
      <c r="AX4" s="13" t="n">
        <v>46322.82613425926</v>
      </c>
      <c r="AY4" s="13" t="n">
        <v>46322.82614583334</v>
      </c>
      <c r="AZ4" s="13" t="n">
        <v>46322.8253587963</v>
      </c>
      <c r="BA4" s="6" t="n"/>
    </row>
    <row r="5">
      <c r="A5" s="12" t="n">
        <v>4</v>
      </c>
      <c r="B5" s="13" t="n">
        <v>46322.86784722222</v>
      </c>
      <c r="C5" s="13" t="n">
        <v>46322.65951388889</v>
      </c>
      <c r="D5" s="13" t="n">
        <v>46322.82618055555</v>
      </c>
      <c r="E5" s="21" t="inlineStr">
        <is>
          <t>SELL</t>
        </is>
      </c>
      <c r="F5" s="6" t="inlineStr">
        <is>
          <t>TMO</t>
        </is>
      </c>
      <c r="G5" s="15" t="inlineStr">
        <is>
          <t>TMO</t>
        </is>
      </c>
      <c r="H5" s="6" t="inlineStr">
        <is>
          <t>NYSE</t>
        </is>
      </c>
      <c r="I5" s="6" t="inlineStr">
        <is>
          <t>filled</t>
        </is>
      </c>
      <c r="J5" s="16" t="n">
        <v>11.986804426</v>
      </c>
      <c r="K5" s="17" t="n">
        <v>699.1666739999999</v>
      </c>
      <c r="L5" s="17">
        <f>IF(AND(ISNUMBER(J5),ISNUMBER(K5)),J5*K5,"")</f>
        <v/>
      </c>
      <c r="M5" s="17" t="n"/>
      <c r="N5" s="16" t="n">
        <v>11.986804426</v>
      </c>
      <c r="O5" s="6" t="inlineStr">
        <is>
          <t>evening under 5%</t>
        </is>
      </c>
      <c r="P5" s="15" t="inlineStr">
        <is>
          <t>Evening: +0.6% from the buy price (under +5%), sold 10 min before the close</t>
        </is>
      </c>
      <c r="Q5" s="12" t="n">
        <v>5</v>
      </c>
      <c r="R5" s="6" t="inlineStr">
        <is>
          <t>ok</t>
        </is>
      </c>
      <c r="S5" s="18" t="n">
        <v>0.667</v>
      </c>
      <c r="T5" s="12" t="n">
        <v>81</v>
      </c>
      <c r="U5" s="19" t="n">
        <v>0.0135</v>
      </c>
      <c r="V5" s="19" t="n">
        <v>-0.1111</v>
      </c>
      <c r="W5" s="12" t="n"/>
      <c r="X5" s="6" t="inlineStr">
        <is>
          <t>ok</t>
        </is>
      </c>
      <c r="Y5" s="19" t="n">
        <v>0.0007000000000000001</v>
      </c>
      <c r="Z5" s="6" t="inlineStr">
        <is>
          <t>ok</t>
        </is>
      </c>
      <c r="AA5" s="12" t="n">
        <v>100</v>
      </c>
      <c r="AB5" s="15" t="n"/>
      <c r="AC5" s="6" t="inlineStr">
        <is>
          <t>ok</t>
        </is>
      </c>
      <c r="AD5" s="6" t="inlineStr">
        <is>
          <t>up</t>
        </is>
      </c>
      <c r="AE5" s="17" t="n">
        <v>710.0776</v>
      </c>
      <c r="AF5" s="17" t="n">
        <v>684.5837</v>
      </c>
      <c r="AG5" s="17" t="n">
        <v>735.5715</v>
      </c>
      <c r="AH5" s="20" t="n">
        <v>46329</v>
      </c>
      <c r="AI5" s="18" t="n">
        <v>0.54</v>
      </c>
      <c r="AJ5" s="6" t="inlineStr">
        <is>
          <t>ok</t>
        </is>
      </c>
      <c r="AK5" s="12" t="n">
        <v>1</v>
      </c>
      <c r="AL5" s="15" t="inlineStr">
        <is>
          <t>Thermo Fisher Scientific Experts to Host Webinar on Clario Endpoint Data Solutions</t>
        </is>
      </c>
      <c r="AM5" s="17" t="n">
        <v>699.8</v>
      </c>
      <c r="AN5" s="19" t="n">
        <v>0.022</v>
      </c>
      <c r="AO5" s="17" t="n">
        <v>100056.57</v>
      </c>
      <c r="AP5" s="17" t="n">
        <v>83336.81</v>
      </c>
      <c r="AQ5" s="19" t="n">
        <v>0.0833</v>
      </c>
      <c r="AR5" s="16" t="n">
        <v>11.986804426</v>
      </c>
      <c r="AS5" s="17" t="n">
        <v>694.9299999999999</v>
      </c>
      <c r="AT5" s="19" t="n">
        <v>0.006500000000000001</v>
      </c>
      <c r="AU5" s="6" t="inlineStr">
        <is>
          <t>paper</t>
        </is>
      </c>
      <c r="AV5" s="6" t="inlineStr">
        <is>
          <t>3df9c111-1586-40fd-a37a-ab0a53ccf9d7</t>
        </is>
      </c>
      <c r="AW5" s="6" t="inlineStr">
        <is>
          <t>tdagent-sell-TMO-1793130578875</t>
        </is>
      </c>
      <c r="AX5" s="13" t="n">
        <v>46322.82613425926</v>
      </c>
      <c r="AY5" s="13" t="n">
        <v>46322.82618055555</v>
      </c>
      <c r="AZ5" s="13" t="n">
        <v>46322.8253587963</v>
      </c>
      <c r="BA5" s="6" t="n"/>
    </row>
    <row r="6">
      <c r="A6" s="12" t="n">
        <v>5</v>
      </c>
      <c r="B6" s="13" t="n">
        <v>46323.60681712963</v>
      </c>
      <c r="C6" s="13" t="n">
        <v>46323.3984837963</v>
      </c>
      <c r="D6" s="13" t="n">
        <v>46323.56515046296</v>
      </c>
      <c r="E6" s="14" t="inlineStr">
        <is>
          <t>BUY</t>
        </is>
      </c>
      <c r="F6" s="6" t="inlineStr">
        <is>
          <t>TMO</t>
        </is>
      </c>
      <c r="G6" s="15" t="inlineStr">
        <is>
          <t>Thermo Fisher Scientific, Inc.</t>
        </is>
      </c>
      <c r="H6" s="6" t="inlineStr">
        <is>
          <t>NYSE</t>
        </is>
      </c>
      <c r="I6" s="6" t="inlineStr">
        <is>
          <t>filled</t>
        </is>
      </c>
      <c r="J6" s="16" t="n">
        <v>11.937064238</v>
      </c>
      <c r="K6" s="17" t="n">
        <v>698.193445</v>
      </c>
      <c r="L6" s="17">
        <f>IF(AND(ISNUMBER(J6),ISNUMBER(K6)),J6*K6,"")</f>
        <v/>
      </c>
      <c r="M6" s="17" t="n">
        <v>8334.389999999999</v>
      </c>
      <c r="N6" s="16" t="n"/>
      <c r="O6" s="6" t="inlineStr">
        <is>
          <t>4+/5 green</t>
        </is>
      </c>
      <c r="P6" s="15" t="inlineStr">
        <is>
          <t>5 of 5 green, time machine green, rank #1, 8.33% of the $100,052.80 account</t>
        </is>
      </c>
      <c r="Q6" s="12" t="n">
        <v>5</v>
      </c>
      <c r="R6" s="6" t="inlineStr">
        <is>
          <t>ok</t>
        </is>
      </c>
      <c r="S6" s="18" t="n">
        <v>0.667</v>
      </c>
      <c r="T6" s="12" t="n">
        <v>81</v>
      </c>
      <c r="U6" s="19" t="n">
        <v>0.0134</v>
      </c>
      <c r="V6" s="19" t="n">
        <v>-0.1111</v>
      </c>
      <c r="W6" s="12" t="n">
        <v>1</v>
      </c>
      <c r="X6" s="6" t="inlineStr">
        <is>
          <t>ok</t>
        </is>
      </c>
      <c r="Y6" s="19" t="n">
        <v>0.001</v>
      </c>
      <c r="Z6" s="6" t="inlineStr">
        <is>
          <t>ok</t>
        </is>
      </c>
      <c r="AA6" s="12" t="n">
        <v>100</v>
      </c>
      <c r="AB6" s="15" t="n"/>
      <c r="AC6" s="6" t="inlineStr">
        <is>
          <t>ok</t>
        </is>
      </c>
      <c r="AD6" s="6" t="inlineStr">
        <is>
          <t>up</t>
        </is>
      </c>
      <c r="AE6" s="17" t="n">
        <v>703.0821</v>
      </c>
      <c r="AF6" s="17" t="n">
        <v>678.0519</v>
      </c>
      <c r="AG6" s="17" t="n">
        <v>728.1123</v>
      </c>
      <c r="AH6" s="20" t="n">
        <v>46330</v>
      </c>
      <c r="AI6" s="18" t="n">
        <v>0.54</v>
      </c>
      <c r="AJ6" s="6" t="inlineStr">
        <is>
          <t>ok</t>
        </is>
      </c>
      <c r="AK6" s="12" t="n">
        <v>1</v>
      </c>
      <c r="AL6" s="15" t="inlineStr">
        <is>
          <t>Thermo Fisher Scientific Experts to Host Webinar on Clario Endpoint Data Solutions</t>
        </is>
      </c>
      <c r="AM6" s="17" t="n">
        <v>692.41</v>
      </c>
      <c r="AN6" s="19" t="n">
        <v>0.012</v>
      </c>
      <c r="AO6" s="17" t="n">
        <v>100052.8</v>
      </c>
      <c r="AP6" s="17" t="n">
        <v>100052.8</v>
      </c>
      <c r="AQ6" s="19" t="n">
        <v>0.0833</v>
      </c>
      <c r="AR6" s="16" t="n"/>
      <c r="AS6" s="17" t="n"/>
      <c r="AT6" s="19" t="n"/>
      <c r="AU6" s="6" t="inlineStr">
        <is>
          <t>paper</t>
        </is>
      </c>
      <c r="AV6" s="6" t="inlineStr">
        <is>
          <t>75ff6654-caa0-43af-a8e3-46fa207bc64a</t>
        </is>
      </c>
      <c r="AW6" s="6" t="inlineStr">
        <is>
          <t>tdagent-buy-TMO-1793194262152</t>
        </is>
      </c>
      <c r="AX6" s="13" t="n">
        <v>46323.56321759259</v>
      </c>
      <c r="AY6" s="13" t="n">
        <v>46323.56515046296</v>
      </c>
      <c r="AZ6" s="13" t="n">
        <v>46323.56269675926</v>
      </c>
      <c r="BA6" s="6" t="n"/>
    </row>
    <row r="7">
      <c r="A7" s="12" t="n">
        <v>6</v>
      </c>
      <c r="B7" s="13" t="n">
        <v>46323.60652777777</v>
      </c>
      <c r="C7" s="13" t="n">
        <v>46323.39819444445</v>
      </c>
      <c r="D7" s="13" t="n">
        <v>46323.56486111111</v>
      </c>
      <c r="E7" s="14" t="inlineStr">
        <is>
          <t>BUY</t>
        </is>
      </c>
      <c r="F7" s="6" t="inlineStr">
        <is>
          <t>DT</t>
        </is>
      </c>
      <c r="G7" s="15" t="inlineStr">
        <is>
          <t>Dynatrace, Inc.</t>
        </is>
      </c>
      <c r="H7" s="6" t="inlineStr">
        <is>
          <t>NYSE</t>
        </is>
      </c>
      <c r="I7" s="6" t="inlineStr">
        <is>
          <t>filled</t>
        </is>
      </c>
      <c r="J7" s="16" t="n">
        <v>130.2953125</v>
      </c>
      <c r="K7" s="17" t="n">
        <v>63.965309</v>
      </c>
      <c r="L7" s="17">
        <f>IF(AND(ISNUMBER(J7),ISNUMBER(K7)),J7*K7,"")</f>
        <v/>
      </c>
      <c r="M7" s="17" t="n">
        <v>8334.389999999999</v>
      </c>
      <c r="N7" s="16" t="n"/>
      <c r="O7" s="6" t="inlineStr">
        <is>
          <t>4+/5 green</t>
        </is>
      </c>
      <c r="P7" s="15" t="inlineStr">
        <is>
          <t>5 of 5 green, time machine green, rank #2, 8.33% of the $100,052.80 account</t>
        </is>
      </c>
      <c r="Q7" s="12" t="n">
        <v>5</v>
      </c>
      <c r="R7" s="6" t="inlineStr">
        <is>
          <t>ok</t>
        </is>
      </c>
      <c r="S7" s="18" t="n">
        <v>0.647</v>
      </c>
      <c r="T7" s="12" t="n">
        <v>51</v>
      </c>
      <c r="U7" s="19" t="n">
        <v>0.0133</v>
      </c>
      <c r="V7" s="19" t="n">
        <v>-0.1111</v>
      </c>
      <c r="W7" s="12" t="n">
        <v>2</v>
      </c>
      <c r="X7" s="6" t="inlineStr">
        <is>
          <t>ok</t>
        </is>
      </c>
      <c r="Y7" s="19" t="n">
        <v>0.0058</v>
      </c>
      <c r="Z7" s="6" t="inlineStr">
        <is>
          <t>ok</t>
        </is>
      </c>
      <c r="AA7" s="12" t="n">
        <v>100</v>
      </c>
      <c r="AB7" s="15" t="n"/>
      <c r="AC7" s="6" t="inlineStr">
        <is>
          <t>ok</t>
        </is>
      </c>
      <c r="AD7" s="6" t="inlineStr">
        <is>
          <t>up</t>
        </is>
      </c>
      <c r="AE7" s="17" t="n">
        <v>65.2238</v>
      </c>
      <c r="AF7" s="17" t="n">
        <v>61.5643</v>
      </c>
      <c r="AG7" s="17" t="n">
        <v>68.8832</v>
      </c>
      <c r="AH7" s="20" t="n">
        <v>46330</v>
      </c>
      <c r="AI7" s="18" t="n">
        <v>0.55</v>
      </c>
      <c r="AJ7" s="6" t="inlineStr">
        <is>
          <t>ok</t>
        </is>
      </c>
      <c r="AK7" s="12" t="n">
        <v>3</v>
      </c>
      <c r="AL7" s="15" t="inlineStr">
        <is>
          <t>Analyst Raises Price Target for Dynatrace</t>
        </is>
      </c>
      <c r="AM7" s="17" t="n">
        <v>63.39</v>
      </c>
      <c r="AN7" s="19" t="n">
        <v>-0.006500000000000001</v>
      </c>
      <c r="AO7" s="17" t="n">
        <v>100052.8</v>
      </c>
      <c r="AP7" s="17" t="n">
        <v>100052.8</v>
      </c>
      <c r="AQ7" s="19" t="n">
        <v>0.0833</v>
      </c>
      <c r="AR7" s="16" t="n"/>
      <c r="AS7" s="17" t="n"/>
      <c r="AT7" s="19" t="n"/>
      <c r="AU7" s="6" t="inlineStr">
        <is>
          <t>paper</t>
        </is>
      </c>
      <c r="AV7" s="6" t="inlineStr">
        <is>
          <t>ea46df9e-798f-47b6-8f79-15985b1f21c1</t>
        </is>
      </c>
      <c r="AW7" s="6" t="inlineStr">
        <is>
          <t>tdagent-buy-DT-1793194262796</t>
        </is>
      </c>
      <c r="AX7" s="13" t="n">
        <v>46323.56321759259</v>
      </c>
      <c r="AY7" s="13" t="n">
        <v>46323.56486111111</v>
      </c>
      <c r="AZ7" s="13" t="n">
        <v>46323.56269675926</v>
      </c>
      <c r="BA7" s="6" t="n"/>
    </row>
    <row r="8">
      <c r="A8" s="12" t="n">
        <v>7</v>
      </c>
      <c r="B8" s="13" t="n">
        <v>46323.60728009259</v>
      </c>
      <c r="C8" s="13" t="n">
        <v>46323.39894675926</v>
      </c>
      <c r="D8" s="13" t="n">
        <v>46323.56561342593</v>
      </c>
      <c r="E8" s="14" t="inlineStr">
        <is>
          <t>BUY</t>
        </is>
      </c>
      <c r="F8" s="6" t="inlineStr">
        <is>
          <t>MNST</t>
        </is>
      </c>
      <c r="G8" s="15" t="inlineStr">
        <is>
          <t>Monster Beverage Corporation</t>
        </is>
      </c>
      <c r="H8" s="6" t="inlineStr">
        <is>
          <t>NASDAQ</t>
        </is>
      </c>
      <c r="I8" s="6" t="inlineStr">
        <is>
          <t>filled</t>
        </is>
      </c>
      <c r="J8" s="16" t="n">
        <v>184.54038504</v>
      </c>
      <c r="K8" s="17" t="n">
        <v>45.162906</v>
      </c>
      <c r="L8" s="17">
        <f>IF(AND(ISNUMBER(J8),ISNUMBER(K8)),J8*K8,"")</f>
        <v/>
      </c>
      <c r="M8" s="17" t="n">
        <v>8334.389999999999</v>
      </c>
      <c r="N8" s="16" t="n"/>
      <c r="O8" s="6" t="inlineStr">
        <is>
          <t>4+/5 green</t>
        </is>
      </c>
      <c r="P8" s="15" t="inlineStr">
        <is>
          <t>5 of 5 green, time machine green, rank #3, 8.33% of the $100,052.80 account</t>
        </is>
      </c>
      <c r="Q8" s="12" t="n">
        <v>5</v>
      </c>
      <c r="R8" s="6" t="inlineStr">
        <is>
          <t>ok</t>
        </is>
      </c>
      <c r="S8" s="18" t="n">
        <v>0.652</v>
      </c>
      <c r="T8" s="12" t="n">
        <v>89</v>
      </c>
      <c r="U8" s="19" t="n">
        <v>0.0089</v>
      </c>
      <c r="V8" s="19" t="n">
        <v>-0.1111</v>
      </c>
      <c r="W8" s="12" t="n">
        <v>3</v>
      </c>
      <c r="X8" s="6" t="inlineStr">
        <is>
          <t>ok</t>
        </is>
      </c>
      <c r="Y8" s="19" t="n">
        <v>0.0071</v>
      </c>
      <c r="Z8" s="6" t="inlineStr">
        <is>
          <t>ok</t>
        </is>
      </c>
      <c r="AA8" s="12" t="n">
        <v>100</v>
      </c>
      <c r="AB8" s="15" t="n"/>
      <c r="AC8" s="6" t="inlineStr">
        <is>
          <t>ok</t>
        </is>
      </c>
      <c r="AD8" s="6" t="inlineStr">
        <is>
          <t>up</t>
        </is>
      </c>
      <c r="AE8" s="17" t="n">
        <v>46.063</v>
      </c>
      <c r="AF8" s="17" t="n">
        <v>44.4805</v>
      </c>
      <c r="AG8" s="17" t="n">
        <v>47.6454</v>
      </c>
      <c r="AH8" s="20" t="n">
        <v>46330</v>
      </c>
      <c r="AI8" s="18" t="n">
        <v>0.53</v>
      </c>
      <c r="AJ8" s="6" t="inlineStr">
        <is>
          <t>ok</t>
        </is>
      </c>
      <c r="AK8" s="12" t="n">
        <v>4</v>
      </c>
      <c r="AL8" s="15" t="inlineStr">
        <is>
          <t>JP Morgan Maintains Neutral on Monster Beverage, Lowers Price Target to $49</t>
        </is>
      </c>
      <c r="AM8" s="17" t="n">
        <v>45.11</v>
      </c>
      <c r="AN8" s="19" t="n">
        <v>-0.0219</v>
      </c>
      <c r="AO8" s="17" t="n">
        <v>100052.8</v>
      </c>
      <c r="AP8" s="17" t="n">
        <v>100052.8</v>
      </c>
      <c r="AQ8" s="19" t="n">
        <v>0.0833</v>
      </c>
      <c r="AR8" s="16" t="n"/>
      <c r="AS8" s="17" t="n"/>
      <c r="AT8" s="19" t="n"/>
      <c r="AU8" s="6" t="inlineStr">
        <is>
          <t>paper</t>
        </is>
      </c>
      <c r="AV8" s="6" t="inlineStr">
        <is>
          <t>1618d695-4afd-42f8-b0f6-9dbbedd13f56</t>
        </is>
      </c>
      <c r="AW8" s="6" t="inlineStr">
        <is>
          <t>tdagent-buy-MNST-1793194263216</t>
        </is>
      </c>
      <c r="AX8" s="13" t="n">
        <v>46323.56322916667</v>
      </c>
      <c r="AY8" s="13" t="n">
        <v>46323.56561342593</v>
      </c>
      <c r="AZ8" s="13" t="n">
        <v>46323.56269675926</v>
      </c>
      <c r="BA8" s="6" t="n"/>
    </row>
    <row r="9">
      <c r="A9" s="12" t="n">
        <v>8</v>
      </c>
      <c r="B9" s="13" t="n">
        <v>46323.60716435185</v>
      </c>
      <c r="C9" s="13" t="n">
        <v>46323.39883101852</v>
      </c>
      <c r="D9" s="13" t="n">
        <v>46323.56549768519</v>
      </c>
      <c r="E9" s="14" t="inlineStr">
        <is>
          <t>BUY</t>
        </is>
      </c>
      <c r="F9" s="6" t="inlineStr">
        <is>
          <t>CBOE</t>
        </is>
      </c>
      <c r="G9" s="15" t="inlineStr">
        <is>
          <t>Cboe Global Markets, Inc.</t>
        </is>
      </c>
      <c r="H9" s="6" t="inlineStr">
        <is>
          <t>BATS</t>
        </is>
      </c>
      <c r="I9" s="6" t="inlineStr">
        <is>
          <t>filled</t>
        </is>
      </c>
      <c r="J9" s="16" t="n">
        <v>25.834717916</v>
      </c>
      <c r="K9" s="17" t="n">
        <v>322.603871</v>
      </c>
      <c r="L9" s="17">
        <f>IF(AND(ISNUMBER(J9),ISNUMBER(K9)),J9*K9,"")</f>
        <v/>
      </c>
      <c r="M9" s="17" t="n">
        <v>8334.389999999999</v>
      </c>
      <c r="N9" s="16" t="n"/>
      <c r="O9" s="6" t="inlineStr">
        <is>
          <t>4+/5 green</t>
        </is>
      </c>
      <c r="P9" s="15" t="inlineStr">
        <is>
          <t>5 of 5 green, time machine green, rank #4, 8.33% of the $100,052.80 account</t>
        </is>
      </c>
      <c r="Q9" s="12" t="n">
        <v>5</v>
      </c>
      <c r="R9" s="6" t="inlineStr">
        <is>
          <t>ok</t>
        </is>
      </c>
      <c r="S9" s="18" t="n">
        <v>0.582</v>
      </c>
      <c r="T9" s="12" t="n">
        <v>67</v>
      </c>
      <c r="U9" s="19" t="n">
        <v>0.0026</v>
      </c>
      <c r="V9" s="19" t="n">
        <v>-0.1111</v>
      </c>
      <c r="W9" s="12" t="n">
        <v>4</v>
      </c>
      <c r="X9" s="6" t="inlineStr">
        <is>
          <t>ok</t>
        </is>
      </c>
      <c r="Y9" s="19" t="n">
        <v>0</v>
      </c>
      <c r="Z9" s="6" t="inlineStr">
        <is>
          <t>ok</t>
        </is>
      </c>
      <c r="AA9" s="12" t="n">
        <v>100</v>
      </c>
      <c r="AB9" s="15" t="n"/>
      <c r="AC9" s="6" t="inlineStr">
        <is>
          <t>ok</t>
        </is>
      </c>
      <c r="AD9" s="6" t="inlineStr">
        <is>
          <t>up</t>
        </is>
      </c>
      <c r="AE9" s="17" t="n">
        <v>331.8585</v>
      </c>
      <c r="AF9" s="17" t="n">
        <v>314.9122</v>
      </c>
      <c r="AG9" s="17" t="n">
        <v>348.8048</v>
      </c>
      <c r="AH9" s="20" t="n">
        <v>46330</v>
      </c>
      <c r="AI9" s="18" t="n">
        <v>0.57</v>
      </c>
      <c r="AJ9" s="6" t="inlineStr">
        <is>
          <t>ok</t>
        </is>
      </c>
      <c r="AK9" s="12" t="n">
        <v>3</v>
      </c>
      <c r="AL9" s="15" t="inlineStr">
        <is>
          <t>JPMorgan Adjusts Price Target on Cboe Global Markets to $332 From $288</t>
        </is>
      </c>
      <c r="AM9" s="17" t="n">
        <v>325.08</v>
      </c>
      <c r="AN9" s="19" t="n">
        <v>-0.0295</v>
      </c>
      <c r="AO9" s="17" t="n">
        <v>100052.8</v>
      </c>
      <c r="AP9" s="17" t="n">
        <v>100052.8</v>
      </c>
      <c r="AQ9" s="19" t="n">
        <v>0.0833</v>
      </c>
      <c r="AR9" s="16" t="n"/>
      <c r="AS9" s="17" t="n"/>
      <c r="AT9" s="19" t="n"/>
      <c r="AU9" s="6" t="inlineStr">
        <is>
          <t>paper</t>
        </is>
      </c>
      <c r="AV9" s="6" t="inlineStr">
        <is>
          <t>9bdcd091-8a94-4f6c-90f4-0dd5ee0bbaf3</t>
        </is>
      </c>
      <c r="AW9" s="6" t="inlineStr">
        <is>
          <t>tdagent-buy-CBOE-1793194263728</t>
        </is>
      </c>
      <c r="AX9" s="13" t="n">
        <v>46323.56322916667</v>
      </c>
      <c r="AY9" s="13" t="n">
        <v>46323.56549768519</v>
      </c>
      <c r="AZ9" s="13" t="n">
        <v>46323.56269675926</v>
      </c>
      <c r="BA9" s="6" t="n"/>
    </row>
    <row r="10">
      <c r="A10" s="12" t="n">
        <v>9</v>
      </c>
      <c r="B10" s="13" t="n">
        <v>46323.60681712963</v>
      </c>
      <c r="C10" s="13" t="n">
        <v>46323.3984837963</v>
      </c>
      <c r="D10" s="13" t="n">
        <v>46323.56515046296</v>
      </c>
      <c r="E10" s="14" t="inlineStr">
        <is>
          <t>BUY</t>
        </is>
      </c>
      <c r="F10" s="6" t="inlineStr">
        <is>
          <t>MCK</t>
        </is>
      </c>
      <c r="G10" s="15" t="inlineStr">
        <is>
          <t>McKesson Corporation</t>
        </is>
      </c>
      <c r="H10" s="6" t="inlineStr">
        <is>
          <t>NYSE</t>
        </is>
      </c>
      <c r="I10" s="6" t="inlineStr">
        <is>
          <t>filled</t>
        </is>
      </c>
      <c r="J10" s="16" t="n">
        <v>8.620135337000001</v>
      </c>
      <c r="K10" s="17" t="n">
        <v>966.85025</v>
      </c>
      <c r="L10" s="17">
        <f>IF(AND(ISNUMBER(J10),ISNUMBER(K10)),J10*K10,"")</f>
        <v/>
      </c>
      <c r="M10" s="17" t="n">
        <v>8334.389999999999</v>
      </c>
      <c r="N10" s="16" t="n"/>
      <c r="O10" s="6" t="inlineStr">
        <is>
          <t>4+/5 green</t>
        </is>
      </c>
      <c r="P10" s="15" t="inlineStr">
        <is>
          <t>5 of 5 green, time machine green, rank #5, 8.33% of the $100,052.80 account</t>
        </is>
      </c>
      <c r="Q10" s="12" t="n">
        <v>5</v>
      </c>
      <c r="R10" s="6" t="inlineStr">
        <is>
          <t>ok</t>
        </is>
      </c>
      <c r="S10" s="18" t="n">
        <v>0.588</v>
      </c>
      <c r="T10" s="12" t="n">
        <v>68</v>
      </c>
      <c r="U10" s="19" t="n">
        <v>0.0019</v>
      </c>
      <c r="V10" s="19" t="n">
        <v>-0.1111</v>
      </c>
      <c r="W10" s="12" t="n">
        <v>5</v>
      </c>
      <c r="X10" s="6" t="inlineStr">
        <is>
          <t>ok</t>
        </is>
      </c>
      <c r="Y10" s="19" t="n">
        <v>0</v>
      </c>
      <c r="Z10" s="6" t="inlineStr">
        <is>
          <t>ok</t>
        </is>
      </c>
      <c r="AA10" s="12" t="n">
        <v>100</v>
      </c>
      <c r="AB10" s="15" t="n"/>
      <c r="AC10" s="6" t="inlineStr">
        <is>
          <t>ok</t>
        </is>
      </c>
      <c r="AD10" s="6" t="inlineStr">
        <is>
          <t>up</t>
        </is>
      </c>
      <c r="AE10" s="17" t="n">
        <v>982.3085</v>
      </c>
      <c r="AF10" s="17" t="n">
        <v>943.6373</v>
      </c>
      <c r="AG10" s="17" t="n">
        <v>1020.9796</v>
      </c>
      <c r="AH10" s="20" t="n">
        <v>46330</v>
      </c>
      <c r="AI10" s="18" t="n">
        <v>0.5600000000000001</v>
      </c>
      <c r="AJ10" s="6" t="inlineStr">
        <is>
          <t>ok</t>
        </is>
      </c>
      <c r="AK10" s="12" t="n">
        <v>2</v>
      </c>
      <c r="AL10" s="15" t="inlineStr">
        <is>
          <t>Here's How Much $100 Invested In McKesson 5 Years Ago Would Be Worth Today</t>
        </is>
      </c>
      <c r="AM10" s="17" t="n">
        <v>966.84</v>
      </c>
      <c r="AN10" s="19" t="n">
        <v>-0.0255</v>
      </c>
      <c r="AO10" s="17" t="n">
        <v>100052.8</v>
      </c>
      <c r="AP10" s="17" t="n">
        <v>100052.8</v>
      </c>
      <c r="AQ10" s="19" t="n">
        <v>0.0833</v>
      </c>
      <c r="AR10" s="16" t="n"/>
      <c r="AS10" s="17" t="n"/>
      <c r="AT10" s="19" t="n"/>
      <c r="AU10" s="6" t="inlineStr">
        <is>
          <t>paper</t>
        </is>
      </c>
      <c r="AV10" s="6" t="inlineStr">
        <is>
          <t>6189b904-77fc-4fcf-b41f-bde0ff4f39db</t>
        </is>
      </c>
      <c r="AW10" s="6" t="inlineStr">
        <is>
          <t>tdagent-buy-MCK-1793194264162</t>
        </is>
      </c>
      <c r="AX10" s="13" t="n">
        <v>46323.56324074074</v>
      </c>
      <c r="AY10" s="13" t="n">
        <v>46323.56515046296</v>
      </c>
      <c r="AZ10" s="13" t="n">
        <v>46323.56269675926</v>
      </c>
      <c r="BA10" s="6" t="n"/>
    </row>
    <row r="11">
      <c r="A11" s="12" t="n">
        <v>10</v>
      </c>
      <c r="B11" s="13" t="n">
        <v>46323.6061574074</v>
      </c>
      <c r="C11" s="13" t="n">
        <v>46323.39782407408</v>
      </c>
      <c r="D11" s="13" t="n">
        <v>46323.56449074074</v>
      </c>
      <c r="E11" s="14" t="inlineStr">
        <is>
          <t>BUY</t>
        </is>
      </c>
      <c r="F11" s="6" t="inlineStr">
        <is>
          <t>SHEL</t>
        </is>
      </c>
      <c r="G11" s="15" t="inlineStr">
        <is>
          <t>Shell plc American Depositary Shares (Each represents two Ordinary shares)</t>
        </is>
      </c>
      <c r="H11" s="6" t="inlineStr">
        <is>
          <t>NYSE</t>
        </is>
      </c>
      <c r="I11" s="6" t="inlineStr">
        <is>
          <t>filled</t>
        </is>
      </c>
      <c r="J11" s="16" t="n">
        <v>79.375047619</v>
      </c>
      <c r="K11" s="17" t="n">
        <v>105</v>
      </c>
      <c r="L11" s="17">
        <f>IF(AND(ISNUMBER(J11),ISNUMBER(K11)),J11*K11,"")</f>
        <v/>
      </c>
      <c r="M11" s="17" t="n">
        <v>8334.389999999999</v>
      </c>
      <c r="N11" s="16" t="n"/>
      <c r="O11" s="6" t="inlineStr">
        <is>
          <t>4+/5 green</t>
        </is>
      </c>
      <c r="P11" s="15" t="inlineStr">
        <is>
          <t>4 of 5 green, time machine green, rank #6, 8.33% of the $100,052.80 account</t>
        </is>
      </c>
      <c r="Q11" s="12" t="n">
        <v>4</v>
      </c>
      <c r="R11" s="6" t="inlineStr">
        <is>
          <t>ok</t>
        </is>
      </c>
      <c r="S11" s="18" t="n">
        <v>0.659</v>
      </c>
      <c r="T11" s="12" t="n">
        <v>91</v>
      </c>
      <c r="U11" s="19" t="n">
        <v>0.0124</v>
      </c>
      <c r="V11" s="19" t="n">
        <v>-0.1111</v>
      </c>
      <c r="W11" s="12" t="n">
        <v>6</v>
      </c>
      <c r="X11" s="6" t="inlineStr">
        <is>
          <t>ok</t>
        </is>
      </c>
      <c r="Y11" s="19" t="n">
        <v>0.0025</v>
      </c>
      <c r="Z11" s="6" t="inlineStr">
        <is>
          <t>ok</t>
        </is>
      </c>
      <c r="AA11" s="12" t="n">
        <v>100</v>
      </c>
      <c r="AB11" s="15" t="n"/>
      <c r="AC11" s="6" t="inlineStr">
        <is>
          <t>ok</t>
        </is>
      </c>
      <c r="AD11" s="6" t="inlineStr">
        <is>
          <t>up</t>
        </is>
      </c>
      <c r="AE11" s="17" t="n">
        <v>106.0087</v>
      </c>
      <c r="AF11" s="17" t="n">
        <v>102.9244</v>
      </c>
      <c r="AG11" s="17" t="n">
        <v>109.093</v>
      </c>
      <c r="AH11" s="20" t="n">
        <v>46330</v>
      </c>
      <c r="AI11" s="18" t="n">
        <v>0.58</v>
      </c>
      <c r="AJ11" s="6" t="inlineStr">
        <is>
          <t>watch</t>
        </is>
      </c>
      <c r="AK11" s="12" t="n">
        <v>8</v>
      </c>
      <c r="AL11" s="15" t="inlineStr">
        <is>
          <t>'Washington discusses Russian deals for US oil majors in Ukraine peace talks' - Financial Times</t>
        </is>
      </c>
      <c r="AM11" s="17" t="n">
        <v>105.04</v>
      </c>
      <c r="AN11" s="19" t="n">
        <v>-0.02</v>
      </c>
      <c r="AO11" s="17" t="n">
        <v>100052.8</v>
      </c>
      <c r="AP11" s="17" t="n">
        <v>100052.8</v>
      </c>
      <c r="AQ11" s="19" t="n">
        <v>0.0833</v>
      </c>
      <c r="AR11" s="16" t="n"/>
      <c r="AS11" s="17" t="n"/>
      <c r="AT11" s="19" t="n"/>
      <c r="AU11" s="6" t="inlineStr">
        <is>
          <t>paper</t>
        </is>
      </c>
      <c r="AV11" s="6" t="inlineStr">
        <is>
          <t>f2c34f6c-bb0c-4e2b-a829-02bd8a0f636f</t>
        </is>
      </c>
      <c r="AW11" s="6" t="inlineStr">
        <is>
          <t>tdagent-buy-SHEL-1793194264666</t>
        </is>
      </c>
      <c r="AX11" s="13" t="n">
        <v>46323.56324074074</v>
      </c>
      <c r="AY11" s="13" t="n">
        <v>46323.56449074074</v>
      </c>
      <c r="AZ11" s="13" t="n">
        <v>46323.56269675926</v>
      </c>
      <c r="BA11" s="6" t="n"/>
    </row>
    <row r="12">
      <c r="A12" s="12" t="n">
        <v>11</v>
      </c>
      <c r="B12" s="13" t="n">
        <v>46323.60633101852</v>
      </c>
      <c r="C12" s="13" t="n">
        <v>46323.39799768518</v>
      </c>
      <c r="D12" s="13" t="n">
        <v>46323.56466435185</v>
      </c>
      <c r="E12" s="14" t="inlineStr">
        <is>
          <t>BUY</t>
        </is>
      </c>
      <c r="F12" s="6" t="inlineStr">
        <is>
          <t>ILMN</t>
        </is>
      </c>
      <c r="G12" s="15" t="inlineStr">
        <is>
          <t>Illumina, Inc. Common Stock</t>
        </is>
      </c>
      <c r="H12" s="6" t="inlineStr">
        <is>
          <t>NASDAQ</t>
        </is>
      </c>
      <c r="I12" s="6" t="inlineStr">
        <is>
          <t>filled</t>
        </is>
      </c>
      <c r="J12" s="16" t="n">
        <v>29.659715302</v>
      </c>
      <c r="K12" s="17" t="n">
        <v>281</v>
      </c>
      <c r="L12" s="17">
        <f>IF(AND(ISNUMBER(J12),ISNUMBER(K12)),J12*K12,"")</f>
        <v/>
      </c>
      <c r="M12" s="17" t="n">
        <v>8334.389999999999</v>
      </c>
      <c r="N12" s="16" t="n"/>
      <c r="O12" s="6" t="inlineStr">
        <is>
          <t>4+/5 green</t>
        </is>
      </c>
      <c r="P12" s="15" t="inlineStr">
        <is>
          <t>5 of 5 green, time machine green, rank #9, 8.33% of the $100,052.80 account</t>
        </is>
      </c>
      <c r="Q12" s="12" t="n">
        <v>5</v>
      </c>
      <c r="R12" s="6" t="inlineStr">
        <is>
          <t>ok</t>
        </is>
      </c>
      <c r="S12" s="18" t="n">
        <v>0.592</v>
      </c>
      <c r="T12" s="12" t="n">
        <v>125</v>
      </c>
      <c r="U12" s="19" t="n">
        <v>0.0155</v>
      </c>
      <c r="V12" s="19" t="n">
        <v>-0.1111</v>
      </c>
      <c r="W12" s="12" t="n">
        <v>9</v>
      </c>
      <c r="X12" s="6" t="inlineStr">
        <is>
          <t>ok</t>
        </is>
      </c>
      <c r="Y12" s="19" t="n">
        <v>0.0029</v>
      </c>
      <c r="Z12" s="6" t="inlineStr">
        <is>
          <t>ok</t>
        </is>
      </c>
      <c r="AA12" s="12" t="n">
        <v>100</v>
      </c>
      <c r="AB12" s="15" t="n"/>
      <c r="AC12" s="6" t="inlineStr">
        <is>
          <t>ok</t>
        </is>
      </c>
      <c r="AD12" s="6" t="inlineStr">
        <is>
          <t>up</t>
        </is>
      </c>
      <c r="AE12" s="17" t="n">
        <v>287.5899</v>
      </c>
      <c r="AF12" s="17" t="n">
        <v>267.1151</v>
      </c>
      <c r="AG12" s="17" t="n">
        <v>308.0647</v>
      </c>
      <c r="AH12" s="20" t="n">
        <v>46330</v>
      </c>
      <c r="AI12" s="18" t="n">
        <v>0.53</v>
      </c>
      <c r="AJ12" s="6" t="inlineStr">
        <is>
          <t>ok</t>
        </is>
      </c>
      <c r="AK12" s="12" t="n">
        <v>0</v>
      </c>
      <c r="AL12" s="15" t="n"/>
      <c r="AM12" s="17" t="n">
        <v>278.6</v>
      </c>
      <c r="AN12" s="19" t="n">
        <v>0.0312</v>
      </c>
      <c r="AO12" s="17" t="n">
        <v>100052.8</v>
      </c>
      <c r="AP12" s="17" t="n">
        <v>100052.8</v>
      </c>
      <c r="AQ12" s="19" t="n">
        <v>0.0833</v>
      </c>
      <c r="AR12" s="16" t="n"/>
      <c r="AS12" s="17" t="n"/>
      <c r="AT12" s="19" t="n"/>
      <c r="AU12" s="6" t="inlineStr">
        <is>
          <t>paper</t>
        </is>
      </c>
      <c r="AV12" s="6" t="inlineStr">
        <is>
          <t>980f13dc-f907-4bd4-b53e-7799785ee61b</t>
        </is>
      </c>
      <c r="AW12" s="6" t="inlineStr">
        <is>
          <t>tdagent-buy-ILMN-1793194266066</t>
        </is>
      </c>
      <c r="AX12" s="13" t="n">
        <v>46323.56326388889</v>
      </c>
      <c r="AY12" s="13" t="n">
        <v>46323.56466435185</v>
      </c>
      <c r="AZ12" s="13" t="n">
        <v>46323.56269675926</v>
      </c>
      <c r="BA12" s="6" t="n"/>
    </row>
    <row r="13">
      <c r="A13" s="12" t="n">
        <v>12</v>
      </c>
      <c r="B13" s="13" t="n">
        <v>46323.60626157407</v>
      </c>
      <c r="C13" s="13" t="n">
        <v>46323.39792824074</v>
      </c>
      <c r="D13" s="13" t="n">
        <v>46323.56459490741</v>
      </c>
      <c r="E13" s="14" t="inlineStr">
        <is>
          <t>BUY</t>
        </is>
      </c>
      <c r="F13" s="6" t="inlineStr">
        <is>
          <t>UTHR</t>
        </is>
      </c>
      <c r="G13" s="15" t="inlineStr">
        <is>
          <t>United Therapeutics Corporation Common Stock</t>
        </is>
      </c>
      <c r="H13" s="6" t="inlineStr">
        <is>
          <t>NASDAQ</t>
        </is>
      </c>
      <c r="I13" s="6" t="inlineStr">
        <is>
          <t>filled</t>
        </is>
      </c>
      <c r="J13" s="16" t="n">
        <v>14.223462352</v>
      </c>
      <c r="K13" s="17" t="n">
        <v>585.96</v>
      </c>
      <c r="L13" s="17">
        <f>IF(AND(ISNUMBER(J13),ISNUMBER(K13)),J13*K13,"")</f>
        <v/>
      </c>
      <c r="M13" s="17" t="n">
        <v>8334.389999999999</v>
      </c>
      <c r="N13" s="16" t="n"/>
      <c r="O13" s="6" t="inlineStr">
        <is>
          <t>4+/5 green</t>
        </is>
      </c>
      <c r="P13" s="15" t="inlineStr">
        <is>
          <t>5 of 5 green, time machine green, rank #10, 8.33% of the $100,052.80 account</t>
        </is>
      </c>
      <c r="Q13" s="12" t="n">
        <v>5</v>
      </c>
      <c r="R13" s="6" t="inlineStr">
        <is>
          <t>ok</t>
        </is>
      </c>
      <c r="S13" s="18" t="n">
        <v>0.569</v>
      </c>
      <c r="T13" s="12" t="n">
        <v>51</v>
      </c>
      <c r="U13" s="19" t="n">
        <v>0.0118</v>
      </c>
      <c r="V13" s="19" t="n">
        <v>-0.1111</v>
      </c>
      <c r="W13" s="12" t="n">
        <v>10</v>
      </c>
      <c r="X13" s="6" t="inlineStr">
        <is>
          <t>ok</t>
        </is>
      </c>
      <c r="Y13" s="19" t="n">
        <v>0</v>
      </c>
      <c r="Z13" s="6" t="inlineStr">
        <is>
          <t>ok</t>
        </is>
      </c>
      <c r="AA13" s="12" t="n">
        <v>100</v>
      </c>
      <c r="AB13" s="15" t="n"/>
      <c r="AC13" s="6" t="inlineStr">
        <is>
          <t>ok</t>
        </is>
      </c>
      <c r="AD13" s="6" t="inlineStr">
        <is>
          <t>up</t>
        </is>
      </c>
      <c r="AE13" s="17" t="n">
        <v>604.2865</v>
      </c>
      <c r="AF13" s="17" t="n">
        <v>571.9452</v>
      </c>
      <c r="AG13" s="17" t="n">
        <v>636.6278</v>
      </c>
      <c r="AH13" s="20" t="n">
        <v>46330</v>
      </c>
      <c r="AI13" s="18" t="n">
        <v>0.55</v>
      </c>
      <c r="AJ13" s="6" t="inlineStr">
        <is>
          <t>ok</t>
        </is>
      </c>
      <c r="AK13" s="12" t="n">
        <v>0</v>
      </c>
      <c r="AL13" s="15" t="n"/>
      <c r="AM13" s="17" t="n">
        <v>591.35</v>
      </c>
      <c r="AN13" s="19" t="n">
        <v>-0.0023</v>
      </c>
      <c r="AO13" s="17" t="n">
        <v>100052.8</v>
      </c>
      <c r="AP13" s="17" t="n">
        <v>100052.8</v>
      </c>
      <c r="AQ13" s="19" t="n">
        <v>0.0833</v>
      </c>
      <c r="AR13" s="16" t="n"/>
      <c r="AS13" s="17" t="n"/>
      <c r="AT13" s="19" t="n"/>
      <c r="AU13" s="6" t="inlineStr">
        <is>
          <t>paper</t>
        </is>
      </c>
      <c r="AV13" s="6" t="inlineStr">
        <is>
          <t>4bf78c8b-c039-475a-999c-1bf4c352180c</t>
        </is>
      </c>
      <c r="AW13" s="6" t="inlineStr">
        <is>
          <t>tdagent-buy-UTHR-1793194266530</t>
        </is>
      </c>
      <c r="AX13" s="13" t="n">
        <v>46323.56326388889</v>
      </c>
      <c r="AY13" s="13" t="n">
        <v>46323.56459490741</v>
      </c>
      <c r="AZ13" s="13" t="n">
        <v>46323.56269675926</v>
      </c>
      <c r="BA13" s="6" t="n"/>
    </row>
    <row r="14">
      <c r="A14" s="12" t="n">
        <v>13</v>
      </c>
      <c r="B14" s="13" t="n">
        <v>46323.60640046297</v>
      </c>
      <c r="C14" s="13" t="n">
        <v>46323.39806712963</v>
      </c>
      <c r="D14" s="13" t="n">
        <v>46323.56473379629</v>
      </c>
      <c r="E14" s="14" t="inlineStr">
        <is>
          <t>BUY</t>
        </is>
      </c>
      <c r="F14" s="6" t="inlineStr">
        <is>
          <t>EBAY</t>
        </is>
      </c>
      <c r="G14" s="15" t="inlineStr">
        <is>
          <t>eBay Inc. Common Stock</t>
        </is>
      </c>
      <c r="H14" s="6" t="inlineStr">
        <is>
          <t>NASDAQ</t>
        </is>
      </c>
      <c r="I14" s="6" t="inlineStr">
        <is>
          <t>filled</t>
        </is>
      </c>
      <c r="J14" s="16" t="n">
        <v>70.13268309</v>
      </c>
      <c r="K14" s="17" t="n">
        <v>118.837319</v>
      </c>
      <c r="L14" s="17">
        <f>IF(AND(ISNUMBER(J14),ISNUMBER(K14)),J14*K14,"")</f>
        <v/>
      </c>
      <c r="M14" s="17" t="n">
        <v>8334.389999999999</v>
      </c>
      <c r="N14" s="16" t="n"/>
      <c r="O14" s="6" t="inlineStr">
        <is>
          <t>4+/5 green</t>
        </is>
      </c>
      <c r="P14" s="15" t="inlineStr">
        <is>
          <t>5 of 5 green, time machine green, rank #11, 8.33% of the $100,052.80 account</t>
        </is>
      </c>
      <c r="Q14" s="12" t="n">
        <v>5</v>
      </c>
      <c r="R14" s="6" t="inlineStr">
        <is>
          <t>ok</t>
        </is>
      </c>
      <c r="S14" s="18" t="n">
        <v>0.55</v>
      </c>
      <c r="T14" s="12" t="n">
        <v>40</v>
      </c>
      <c r="U14" s="19" t="n">
        <v>0.005500000000000001</v>
      </c>
      <c r="V14" s="19" t="n">
        <v>-0.1111</v>
      </c>
      <c r="W14" s="12" t="n">
        <v>11</v>
      </c>
      <c r="X14" s="6" t="inlineStr">
        <is>
          <t>ok</t>
        </is>
      </c>
      <c r="Y14" s="19" t="n">
        <v>0.0044</v>
      </c>
      <c r="Z14" s="6" t="inlineStr">
        <is>
          <t>ok</t>
        </is>
      </c>
      <c r="AA14" s="12" t="n">
        <v>100</v>
      </c>
      <c r="AB14" s="15" t="n"/>
      <c r="AC14" s="6" t="inlineStr">
        <is>
          <t>ok</t>
        </is>
      </c>
      <c r="AD14" s="6" t="inlineStr">
        <is>
          <t>up</t>
        </is>
      </c>
      <c r="AE14" s="17" t="n">
        <v>119.7698</v>
      </c>
      <c r="AF14" s="17" t="n">
        <v>114.8704</v>
      </c>
      <c r="AG14" s="17" t="n">
        <v>124.6691</v>
      </c>
      <c r="AH14" s="20" t="n">
        <v>46330</v>
      </c>
      <c r="AI14" s="18" t="n">
        <v>0.55</v>
      </c>
      <c r="AJ14" s="6" t="inlineStr">
        <is>
          <t>ok</t>
        </is>
      </c>
      <c r="AK14" s="12" t="n">
        <v>5</v>
      </c>
      <c r="AL14" s="15" t="inlineStr">
        <is>
          <t>UBS Maintains Neutral on eBay, Raises Price Target to $131</t>
        </is>
      </c>
      <c r="AM14" s="17" t="n">
        <v>118.33</v>
      </c>
      <c r="AN14" s="19" t="n">
        <v>-0.0067</v>
      </c>
      <c r="AO14" s="17" t="n">
        <v>100052.8</v>
      </c>
      <c r="AP14" s="17" t="n">
        <v>100052.8</v>
      </c>
      <c r="AQ14" s="19" t="n">
        <v>0.0833</v>
      </c>
      <c r="AR14" s="16" t="n"/>
      <c r="AS14" s="17" t="n"/>
      <c r="AT14" s="19" t="n"/>
      <c r="AU14" s="6" t="inlineStr">
        <is>
          <t>paper</t>
        </is>
      </c>
      <c r="AV14" s="6" t="inlineStr">
        <is>
          <t>8449c305-1c64-40c9-a24f-a14b858d4888</t>
        </is>
      </c>
      <c r="AW14" s="6" t="inlineStr">
        <is>
          <t>tdagent-buy-EBAY-1793194267013</t>
        </is>
      </c>
      <c r="AX14" s="13" t="n">
        <v>46323.56327546296</v>
      </c>
      <c r="AY14" s="13" t="n">
        <v>46323.56473379629</v>
      </c>
      <c r="AZ14" s="13" t="n">
        <v>46323.56269675926</v>
      </c>
      <c r="BA14" s="6" t="n"/>
    </row>
    <row r="15">
      <c r="A15" s="12" t="n">
        <v>14</v>
      </c>
      <c r="B15" s="13" t="n">
        <v>46323.60721064815</v>
      </c>
      <c r="C15" s="13" t="n">
        <v>46323.39887731482</v>
      </c>
      <c r="D15" s="13" t="n">
        <v>46323.56554398148</v>
      </c>
      <c r="E15" s="14" t="inlineStr">
        <is>
          <t>BUY</t>
        </is>
      </c>
      <c r="F15" s="6" t="inlineStr">
        <is>
          <t>OXY</t>
        </is>
      </c>
      <c r="G15" s="15" t="inlineStr">
        <is>
          <t>Occidental Petroleum Corporation</t>
        </is>
      </c>
      <c r="H15" s="6" t="inlineStr">
        <is>
          <t>NYSE</t>
        </is>
      </c>
      <c r="I15" s="6" t="inlineStr">
        <is>
          <t>filled</t>
        </is>
      </c>
      <c r="J15" s="16" t="n">
        <v>132.295201779</v>
      </c>
      <c r="K15" s="17" t="n">
        <v>62.998354</v>
      </c>
      <c r="L15" s="17">
        <f>IF(AND(ISNUMBER(J15),ISNUMBER(K15)),J15*K15,"")</f>
        <v/>
      </c>
      <c r="M15" s="17" t="n">
        <v>8334.389999999999</v>
      </c>
      <c r="N15" s="16" t="n"/>
      <c r="O15" s="6" t="inlineStr">
        <is>
          <t>4+/5 green</t>
        </is>
      </c>
      <c r="P15" s="15" t="inlineStr">
        <is>
          <t>4 of 5 green, time machine green, rank #12, 8.33% of the $100,052.80 account</t>
        </is>
      </c>
      <c r="Q15" s="12" t="n">
        <v>4</v>
      </c>
      <c r="R15" s="6" t="inlineStr">
        <is>
          <t>ok</t>
        </is>
      </c>
      <c r="S15" s="18" t="n">
        <v>0.621</v>
      </c>
      <c r="T15" s="12" t="n">
        <v>58</v>
      </c>
      <c r="U15" s="19" t="n">
        <v>0.0105</v>
      </c>
      <c r="V15" s="19" t="n">
        <v>-0.1111</v>
      </c>
      <c r="W15" s="12" t="n">
        <v>12</v>
      </c>
      <c r="X15" s="6" t="inlineStr">
        <is>
          <t>ok</t>
        </is>
      </c>
      <c r="Y15" s="19" t="n">
        <v>0.006500000000000001</v>
      </c>
      <c r="Z15" s="6" t="inlineStr">
        <is>
          <t>ok</t>
        </is>
      </c>
      <c r="AA15" s="12" t="n">
        <v>100</v>
      </c>
      <c r="AB15" s="15" t="n"/>
      <c r="AC15" s="6" t="inlineStr">
        <is>
          <t>ok</t>
        </is>
      </c>
      <c r="AD15" s="6" t="inlineStr">
        <is>
          <t>up</t>
        </is>
      </c>
      <c r="AE15" s="17" t="n">
        <v>63.7925</v>
      </c>
      <c r="AF15" s="17" t="n">
        <v>61.1362</v>
      </c>
      <c r="AG15" s="17" t="n">
        <v>66.44889999999999</v>
      </c>
      <c r="AH15" s="20" t="n">
        <v>46330</v>
      </c>
      <c r="AI15" s="18" t="n">
        <v>0.54</v>
      </c>
      <c r="AJ15" s="6" t="inlineStr">
        <is>
          <t>watch</t>
        </is>
      </c>
      <c r="AK15" s="12" t="n">
        <v>7</v>
      </c>
      <c r="AL15" s="15" t="inlineStr">
        <is>
          <t>Goldman Sachs Downgrades Occidental Petroleum to Neutral</t>
        </is>
      </c>
      <c r="AM15" s="17" t="n">
        <v>63.14</v>
      </c>
      <c r="AN15" s="19" t="n">
        <v>-0.0209</v>
      </c>
      <c r="AO15" s="17" t="n">
        <v>100052.8</v>
      </c>
      <c r="AP15" s="17" t="n">
        <v>100052.8</v>
      </c>
      <c r="AQ15" s="19" t="n">
        <v>0.0833</v>
      </c>
      <c r="AR15" s="16" t="n"/>
      <c r="AS15" s="17" t="n"/>
      <c r="AT15" s="19" t="n"/>
      <c r="AU15" s="6" t="inlineStr">
        <is>
          <t>paper</t>
        </is>
      </c>
      <c r="AV15" s="6" t="inlineStr">
        <is>
          <t>e2f8f479-97ed-463a-aab1-2ca11da16008</t>
        </is>
      </c>
      <c r="AW15" s="6" t="inlineStr">
        <is>
          <t>tdagent-buy-OXY-1793194267523</t>
        </is>
      </c>
      <c r="AX15" s="13" t="n">
        <v>46323.56327546296</v>
      </c>
      <c r="AY15" s="13" t="n">
        <v>46323.56554398148</v>
      </c>
      <c r="AZ15" s="13" t="n">
        <v>46323.56269675926</v>
      </c>
      <c r="BA15" s="6" t="n"/>
    </row>
    <row r="16">
      <c r="A16" s="12" t="n">
        <v>15</v>
      </c>
      <c r="B16" s="13" t="n">
        <v>46323.60728009259</v>
      </c>
      <c r="C16" s="13" t="n">
        <v>46323.39894675926</v>
      </c>
      <c r="D16" s="13" t="n">
        <v>46323.56561342593</v>
      </c>
      <c r="E16" s="14" t="inlineStr">
        <is>
          <t>BUY</t>
        </is>
      </c>
      <c r="F16" s="6" t="inlineStr">
        <is>
          <t>IQV</t>
        </is>
      </c>
      <c r="G16" s="15" t="inlineStr">
        <is>
          <t>IQVIA Holdings Inc.</t>
        </is>
      </c>
      <c r="H16" s="6" t="inlineStr">
        <is>
          <t>NYSE</t>
        </is>
      </c>
      <c r="I16" s="6" t="inlineStr">
        <is>
          <t>filled</t>
        </is>
      </c>
      <c r="J16" s="16" t="n">
        <v>30.359759869</v>
      </c>
      <c r="K16" s="17" t="n">
        <v>274.520617</v>
      </c>
      <c r="L16" s="17">
        <f>IF(AND(ISNUMBER(J16),ISNUMBER(K16)),J16*K16,"")</f>
        <v/>
      </c>
      <c r="M16" s="17" t="n">
        <v>8334.389999999999</v>
      </c>
      <c r="N16" s="16" t="n"/>
      <c r="O16" s="6" t="inlineStr">
        <is>
          <t>4+/5 green</t>
        </is>
      </c>
      <c r="P16" s="15" t="inlineStr">
        <is>
          <t>4 of 5 green, time machine green, rank #13, 8.33% of the $100,052.80 account</t>
        </is>
      </c>
      <c r="Q16" s="12" t="n">
        <v>4</v>
      </c>
      <c r="R16" s="6" t="inlineStr">
        <is>
          <t>ok</t>
        </is>
      </c>
      <c r="S16" s="18" t="n">
        <v>0.6</v>
      </c>
      <c r="T16" s="12" t="n">
        <v>75</v>
      </c>
      <c r="U16" s="19" t="n">
        <v>0.0142</v>
      </c>
      <c r="V16" s="19" t="n">
        <v>-0.1111</v>
      </c>
      <c r="W16" s="12" t="n">
        <v>13</v>
      </c>
      <c r="X16" s="6" t="inlineStr">
        <is>
          <t>ok</t>
        </is>
      </c>
      <c r="Y16" s="19" t="n">
        <v>0.004699999999999999</v>
      </c>
      <c r="Z16" s="6" t="inlineStr">
        <is>
          <t>ok</t>
        </is>
      </c>
      <c r="AA16" s="12" t="n">
        <v>100</v>
      </c>
      <c r="AB16" s="15" t="n"/>
      <c r="AC16" s="6" t="inlineStr">
        <is>
          <t>ok</t>
        </is>
      </c>
      <c r="AD16" s="6" t="inlineStr">
        <is>
          <t>up</t>
        </is>
      </c>
      <c r="AE16" s="17" t="n">
        <v>275.4603</v>
      </c>
      <c r="AF16" s="17" t="n">
        <v>265.4096</v>
      </c>
      <c r="AG16" s="17" t="n">
        <v>285.511</v>
      </c>
      <c r="AH16" s="20" t="n">
        <v>46330</v>
      </c>
      <c r="AI16" s="18" t="n">
        <v>0.53</v>
      </c>
      <c r="AJ16" s="6" t="inlineStr">
        <is>
          <t>watch</t>
        </is>
      </c>
      <c r="AK16" s="12" t="n">
        <v>7</v>
      </c>
      <c r="AL16" s="15" t="inlineStr">
        <is>
          <t>IQVIA Hldgs Q3 2026 Earnings Call Transcript</t>
        </is>
      </c>
      <c r="AM16" s="17" t="n">
        <v>270.175</v>
      </c>
      <c r="AN16" s="19" t="n">
        <v>-0.0092</v>
      </c>
      <c r="AO16" s="17" t="n">
        <v>100052.8</v>
      </c>
      <c r="AP16" s="17" t="n">
        <v>100052.8</v>
      </c>
      <c r="AQ16" s="19" t="n">
        <v>0.0833</v>
      </c>
      <c r="AR16" s="16" t="n"/>
      <c r="AS16" s="17" t="n"/>
      <c r="AT16" s="19" t="n"/>
      <c r="AU16" s="6" t="inlineStr">
        <is>
          <t>paper</t>
        </is>
      </c>
      <c r="AV16" s="6" t="inlineStr">
        <is>
          <t>dcb95512-fd40-4530-b67d-8e5ef4305ac4</t>
        </is>
      </c>
      <c r="AW16" s="6" t="inlineStr">
        <is>
          <t>tdagent-buy-IQV-1793194268057</t>
        </is>
      </c>
      <c r="AX16" s="13" t="n">
        <v>46323.56328703704</v>
      </c>
      <c r="AY16" s="13" t="n">
        <v>46323.56561342593</v>
      </c>
      <c r="AZ16" s="13" t="n">
        <v>46323.56269675926</v>
      </c>
      <c r="BA16" s="6" t="n"/>
    </row>
    <row r="17">
      <c r="A17" s="12" t="n">
        <v>16</v>
      </c>
      <c r="B17" s="13" t="n">
        <v>46323.60732638889</v>
      </c>
      <c r="C17" s="13" t="n">
        <v>46323.39899305555</v>
      </c>
      <c r="D17" s="13" t="n">
        <v>46323.56565972222</v>
      </c>
      <c r="E17" s="14" t="inlineStr">
        <is>
          <t>BUY</t>
        </is>
      </c>
      <c r="F17" s="6" t="inlineStr">
        <is>
          <t>PBR.A</t>
        </is>
      </c>
      <c r="G17" s="15" t="inlineStr">
        <is>
          <t>Petroleo Brasileiro S.A.-Petrobras</t>
        </is>
      </c>
      <c r="H17" s="6" t="inlineStr">
        <is>
          <t>NYSE</t>
        </is>
      </c>
      <c r="I17" s="6" t="inlineStr">
        <is>
          <t>filled</t>
        </is>
      </c>
      <c r="J17" s="16" t="n">
        <v>423.159067882</v>
      </c>
      <c r="K17" s="17" t="n">
        <v>19.69562</v>
      </c>
      <c r="L17" s="17">
        <f>IF(AND(ISNUMBER(J17),ISNUMBER(K17)),J17*K17,"")</f>
        <v/>
      </c>
      <c r="M17" s="17" t="n">
        <v>8334.389999999999</v>
      </c>
      <c r="N17" s="16" t="n"/>
      <c r="O17" s="6" t="inlineStr">
        <is>
          <t>4+/5 green</t>
        </is>
      </c>
      <c r="P17" s="15" t="inlineStr">
        <is>
          <t>4 of 5 green, time machine green, rank #14, 8.33% of the $100,052.80 account</t>
        </is>
      </c>
      <c r="Q17" s="12" t="n">
        <v>4</v>
      </c>
      <c r="R17" s="6" t="inlineStr">
        <is>
          <t>ok</t>
        </is>
      </c>
      <c r="S17" s="18" t="n">
        <v>0.652</v>
      </c>
      <c r="T17" s="12" t="n">
        <v>66</v>
      </c>
      <c r="U17" s="19" t="n">
        <v>0.0247</v>
      </c>
      <c r="V17" s="19" t="n">
        <v>-0.1111</v>
      </c>
      <c r="W17" s="12" t="n">
        <v>14</v>
      </c>
      <c r="X17" s="6" t="inlineStr">
        <is>
          <t>ok</t>
        </is>
      </c>
      <c r="Y17" s="19" t="n">
        <v>0.0018</v>
      </c>
      <c r="Z17" s="6" t="inlineStr">
        <is>
          <t>watch</t>
        </is>
      </c>
      <c r="AA17" s="12" t="n">
        <v>70</v>
      </c>
      <c r="AB17" s="15" t="inlineStr">
        <is>
          <t>One day (-15.4%) did 121% of the 10-day move. The trend rests on a single jump.; Price gapped 16.8% at an open in the last week.</t>
        </is>
      </c>
      <c r="AC17" s="6" t="inlineStr">
        <is>
          <t>ok</t>
        </is>
      </c>
      <c r="AD17" s="6" t="inlineStr">
        <is>
          <t>up</t>
        </is>
      </c>
      <c r="AE17" s="17" t="n">
        <v>20.3103</v>
      </c>
      <c r="AF17" s="17" t="n">
        <v>18.9221</v>
      </c>
      <c r="AG17" s="17" t="n">
        <v>21.6984</v>
      </c>
      <c r="AH17" s="20" t="n">
        <v>46330</v>
      </c>
      <c r="AI17" s="18" t="n">
        <v>0.53</v>
      </c>
      <c r="AJ17" s="6" t="inlineStr">
        <is>
          <t>ok</t>
        </is>
      </c>
      <c r="AK17" s="12" t="n">
        <v>3</v>
      </c>
      <c r="AL17" s="15" t="inlineStr">
        <is>
          <t>Halliburton Deploys ROCS Technology With Petrobras in Brazil</t>
        </is>
      </c>
      <c r="AM17" s="17" t="n">
        <v>19.72</v>
      </c>
      <c r="AN17" s="19" t="n">
        <v>-0.0075</v>
      </c>
      <c r="AO17" s="17" t="n">
        <v>100052.8</v>
      </c>
      <c r="AP17" s="17" t="n">
        <v>100052.8</v>
      </c>
      <c r="AQ17" s="19" t="n">
        <v>0.0833</v>
      </c>
      <c r="AR17" s="16" t="n"/>
      <c r="AS17" s="17" t="n"/>
      <c r="AT17" s="19" t="n"/>
      <c r="AU17" s="6" t="inlineStr">
        <is>
          <t>paper</t>
        </is>
      </c>
      <c r="AV17" s="6" t="inlineStr">
        <is>
          <t>d24a5b49-4f8b-4052-bbd2-144f6d025701</t>
        </is>
      </c>
      <c r="AW17" s="6" t="inlineStr">
        <is>
          <t>tdagent-buy-PBR.A-1793194268661</t>
        </is>
      </c>
      <c r="AX17" s="13" t="n">
        <v>46323.56328703704</v>
      </c>
      <c r="AY17" s="13" t="n">
        <v>46323.56565972222</v>
      </c>
      <c r="AZ17" s="13" t="n">
        <v>46323.56269675926</v>
      </c>
      <c r="BA17" s="6" t="n"/>
    </row>
    <row r="18">
      <c r="A18" s="12" t="n">
        <v>17</v>
      </c>
      <c r="B18" s="13" t="n">
        <v>46323.60892361111</v>
      </c>
      <c r="C18" s="13" t="n">
        <v>46323.40059027778</v>
      </c>
      <c r="D18" s="13" t="n">
        <v>46323.56725694444</v>
      </c>
      <c r="E18" s="21" t="inlineStr">
        <is>
          <t>SELL</t>
        </is>
      </c>
      <c r="F18" s="6" t="inlineStr">
        <is>
          <t>IQV</t>
        </is>
      </c>
      <c r="G18" s="15" t="inlineStr">
        <is>
          <t>IQV</t>
        </is>
      </c>
      <c r="H18" s="6" t="inlineStr">
        <is>
          <t>NYSE</t>
        </is>
      </c>
      <c r="I18" s="6" t="inlineStr">
        <is>
          <t>filled</t>
        </is>
      </c>
      <c r="J18" s="16" t="n">
        <v>15.179879934</v>
      </c>
      <c r="K18" s="17" t="n">
        <v>273.44</v>
      </c>
      <c r="L18" s="17">
        <f>IF(AND(ISNUMBER(J18),ISNUMBER(K18)),J18*K18,"")</f>
        <v/>
      </c>
      <c r="M18" s="17" t="n"/>
      <c r="N18" s="16" t="n">
        <v>15.179879934</v>
      </c>
      <c r="O18" s="6" t="inlineStr">
        <is>
          <t>3 green: sell half</t>
        </is>
      </c>
      <c r="P18" s="15" t="inlineStr">
        <is>
          <t>3 of 5 green: start selling (half)</t>
        </is>
      </c>
      <c r="Q18" s="12" t="n">
        <v>3</v>
      </c>
      <c r="R18" s="6" t="inlineStr">
        <is>
          <t>ok</t>
        </is>
      </c>
      <c r="S18" s="18" t="n">
        <v>0.6</v>
      </c>
      <c r="T18" s="12" t="n">
        <v>75</v>
      </c>
      <c r="U18" s="19" t="n">
        <v>0.0142</v>
      </c>
      <c r="V18" s="19" t="n">
        <v>-0.1111</v>
      </c>
      <c r="W18" s="12" t="n"/>
      <c r="X18" s="6" t="inlineStr">
        <is>
          <t>watch</t>
        </is>
      </c>
      <c r="Y18" s="19" t="n">
        <v>0.0091</v>
      </c>
      <c r="Z18" s="6" t="inlineStr">
        <is>
          <t>ok</t>
        </is>
      </c>
      <c r="AA18" s="12" t="n">
        <v>100</v>
      </c>
      <c r="AB18" s="15" t="n"/>
      <c r="AC18" s="6" t="inlineStr">
        <is>
          <t>ok</t>
        </is>
      </c>
      <c r="AD18" s="6" t="inlineStr">
        <is>
          <t>up</t>
        </is>
      </c>
      <c r="AE18" s="17" t="n">
        <v>275.8908</v>
      </c>
      <c r="AF18" s="17" t="n">
        <v>266.0138</v>
      </c>
      <c r="AG18" s="17" t="n">
        <v>285.7679</v>
      </c>
      <c r="AH18" s="20" t="n">
        <v>46330</v>
      </c>
      <c r="AI18" s="18" t="n">
        <v>0.53</v>
      </c>
      <c r="AJ18" s="6" t="inlineStr">
        <is>
          <t>watch</t>
        </is>
      </c>
      <c r="AK18" s="12" t="n">
        <v>7</v>
      </c>
      <c r="AL18" s="15" t="inlineStr">
        <is>
          <t>IQVIA Hldgs Q3 2026 Earnings Call Transcript</t>
        </is>
      </c>
      <c r="AM18" s="17" t="n">
        <v>271.94</v>
      </c>
      <c r="AN18" s="19" t="n">
        <v>0.0018</v>
      </c>
      <c r="AO18" s="17" t="n">
        <v>99990.35000000001</v>
      </c>
      <c r="AP18" s="17" t="n">
        <v>40.24</v>
      </c>
      <c r="AQ18" s="19" t="n">
        <v>0.0833</v>
      </c>
      <c r="AR18" s="16" t="n">
        <v>30.359759869</v>
      </c>
      <c r="AS18" s="17" t="n">
        <v>274.520617</v>
      </c>
      <c r="AT18" s="19" t="n">
        <v>-0.0028</v>
      </c>
      <c r="AU18" s="6" t="inlineStr">
        <is>
          <t>paper</t>
        </is>
      </c>
      <c r="AV18" s="6" t="inlineStr">
        <is>
          <t>23c6235d-dfef-4aeb-a7b4-d002f9b5f79f</t>
        </is>
      </c>
      <c r="AW18" s="6" t="inlineStr">
        <is>
          <t>tdagent-sell-IQV-1793194607983</t>
        </is>
      </c>
      <c r="AX18" s="13" t="n">
        <v>46323.56721064815</v>
      </c>
      <c r="AY18" s="13" t="n">
        <v>46323.56725694444</v>
      </c>
      <c r="AZ18" s="13" t="n">
        <v>46323.56685185185</v>
      </c>
      <c r="BA18" s="6" t="n"/>
    </row>
    <row r="19">
      <c r="A19" s="12" t="n">
        <v>18</v>
      </c>
      <c r="B19" s="13" t="n">
        <v>46323.60894675926</v>
      </c>
      <c r="C19" s="13" t="n">
        <v>46323.40061342593</v>
      </c>
      <c r="D19" s="13" t="n">
        <v>46323.56728009259</v>
      </c>
      <c r="E19" s="21" t="inlineStr">
        <is>
          <t>SELL</t>
        </is>
      </c>
      <c r="F19" s="6" t="inlineStr">
        <is>
          <t>PBR.A</t>
        </is>
      </c>
      <c r="G19" s="15" t="inlineStr">
        <is>
          <t>PBR.A</t>
        </is>
      </c>
      <c r="H19" s="6" t="inlineStr">
        <is>
          <t>NYSE</t>
        </is>
      </c>
      <c r="I19" s="6" t="inlineStr">
        <is>
          <t>filled</t>
        </is>
      </c>
      <c r="J19" s="16" t="n">
        <v>211.579533941</v>
      </c>
      <c r="K19" s="17" t="n">
        <v>19.755625</v>
      </c>
      <c r="L19" s="17">
        <f>IF(AND(ISNUMBER(J19),ISNUMBER(K19)),J19*K19,"")</f>
        <v/>
      </c>
      <c r="M19" s="17" t="n"/>
      <c r="N19" s="16" t="n">
        <v>211.579533941</v>
      </c>
      <c r="O19" s="6" t="inlineStr">
        <is>
          <t>3 green: sell half</t>
        </is>
      </c>
      <c r="P19" s="15" t="inlineStr">
        <is>
          <t>3 of 5 green: start selling (half)</t>
        </is>
      </c>
      <c r="Q19" s="12" t="n">
        <v>3</v>
      </c>
      <c r="R19" s="6" t="inlineStr">
        <is>
          <t>ok</t>
        </is>
      </c>
      <c r="S19" s="18" t="n">
        <v>0.652</v>
      </c>
      <c r="T19" s="12" t="n">
        <v>66</v>
      </c>
      <c r="U19" s="19" t="n">
        <v>0.0247</v>
      </c>
      <c r="V19" s="19" t="n">
        <v>-0.1111</v>
      </c>
      <c r="W19" s="12" t="n"/>
      <c r="X19" s="6" t="inlineStr">
        <is>
          <t>ok</t>
        </is>
      </c>
      <c r="Y19" s="19" t="n">
        <v>0.0005</v>
      </c>
      <c r="Z19" s="6" t="inlineStr">
        <is>
          <t>watch</t>
        </is>
      </c>
      <c r="AA19" s="12" t="n">
        <v>70</v>
      </c>
      <c r="AB19" s="15" t="inlineStr">
        <is>
          <t>One day (-15.4%) did 107% of the 10-day move. The trend rests on a single jump.; Price gapped 16.8% at an open in the last week.</t>
        </is>
      </c>
      <c r="AC19" s="6" t="inlineStr">
        <is>
          <t>watch</t>
        </is>
      </c>
      <c r="AD19" s="6" t="inlineStr">
        <is>
          <t>flat</t>
        </is>
      </c>
      <c r="AE19" s="17" t="n">
        <v>19.76</v>
      </c>
      <c r="AF19" s="17" t="n">
        <v>18.3771</v>
      </c>
      <c r="AG19" s="17" t="n">
        <v>21.1429</v>
      </c>
      <c r="AH19" s="20" t="n">
        <v>46330</v>
      </c>
      <c r="AI19" s="18" t="n">
        <v>0.5</v>
      </c>
      <c r="AJ19" s="6" t="inlineStr">
        <is>
          <t>ok</t>
        </is>
      </c>
      <c r="AK19" s="12" t="n">
        <v>3</v>
      </c>
      <c r="AL19" s="15" t="inlineStr">
        <is>
          <t>Halliburton Deploys ROCS Technology With Petrobras in Brazil</t>
        </is>
      </c>
      <c r="AM19" s="17" t="n">
        <v>19.75</v>
      </c>
      <c r="AN19" s="19" t="n">
        <v>0.0003</v>
      </c>
      <c r="AO19" s="17" t="n">
        <v>99990.35000000001</v>
      </c>
      <c r="AP19" s="17" t="n">
        <v>40.24</v>
      </c>
      <c r="AQ19" s="19" t="n">
        <v>0.0833</v>
      </c>
      <c r="AR19" s="16" t="n">
        <v>423.159067882</v>
      </c>
      <c r="AS19" s="17" t="n">
        <v>19.69562</v>
      </c>
      <c r="AT19" s="19" t="n">
        <v>0.0028</v>
      </c>
      <c r="AU19" s="6" t="inlineStr">
        <is>
          <t>paper</t>
        </is>
      </c>
      <c r="AV19" s="6" t="inlineStr">
        <is>
          <t>e3451ca4-e963-4073-ad76-f95ca1253ccb</t>
        </is>
      </c>
      <c r="AW19" s="6" t="inlineStr">
        <is>
          <t>tdagent-sell-PBR.A-1793194608171</t>
        </is>
      </c>
      <c r="AX19" s="13" t="n">
        <v>46323.56722222222</v>
      </c>
      <c r="AY19" s="13" t="n">
        <v>46323.56728009259</v>
      </c>
      <c r="AZ19" s="13" t="n">
        <v>46323.56685185185</v>
      </c>
      <c r="BA19" s="6" t="n"/>
    </row>
  </sheetData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17"/>
  <sheetViews>
    <sheetView showGridLines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8" customWidth="1" min="2" max="2"/>
    <col width="17" customWidth="1" min="3" max="3"/>
    <col width="17" customWidth="1" min="4" max="4"/>
    <col width="12" customWidth="1" min="5" max="5"/>
    <col width="12" customWidth="1" min="6" max="6"/>
    <col width="12" customWidth="1" min="7" max="7"/>
    <col width="17" customWidth="1" min="8" max="8"/>
    <col width="17" customWidth="1" min="9" max="9"/>
    <col width="12" customWidth="1" min="10" max="10"/>
    <col width="12" customWidth="1" min="11" max="11"/>
    <col width="12" customWidth="1" min="12" max="12"/>
    <col width="10" customWidth="1" min="13" max="13"/>
    <col width="10" customWidth="1" min="14" max="14"/>
    <col width="20" customWidth="1" min="15" max="15"/>
    <col width="9" customWidth="1" min="16" max="16"/>
  </cols>
  <sheetData>
    <row r="1" ht="30" customHeight="1">
      <c r="A1" s="5" t="inlineStr">
        <is>
          <t>Symbol</t>
        </is>
      </c>
      <c r="B1" s="5" t="inlineStr">
        <is>
          <t>Company</t>
        </is>
      </c>
      <c r="C1" s="5" t="inlineStr">
        <is>
          <t>Bought (Berlin)</t>
        </is>
      </c>
      <c r="D1" s="5" t="inlineStr">
        <is>
          <t>Bought (New York)</t>
        </is>
      </c>
      <c r="E1" s="5" t="inlineStr">
        <is>
          <t>Buy price $</t>
        </is>
      </c>
      <c r="F1" s="5" t="inlineStr">
        <is>
          <t>Qty</t>
        </is>
      </c>
      <c r="G1" s="5" t="inlineStr">
        <is>
          <t>Cost $</t>
        </is>
      </c>
      <c r="H1" s="5" t="inlineStr">
        <is>
          <t>Sold (Berlin)</t>
        </is>
      </c>
      <c r="I1" s="5" t="inlineStr">
        <is>
          <t>Sold (New York)</t>
        </is>
      </c>
      <c r="J1" s="5" t="inlineStr">
        <is>
          <t>Sell price $</t>
        </is>
      </c>
      <c r="K1" s="5" t="inlineStr">
        <is>
          <t>Proceeds $</t>
        </is>
      </c>
      <c r="L1" s="5" t="inlineStr">
        <is>
          <t>P/L $</t>
        </is>
      </c>
      <c r="M1" s="5" t="inlineStr">
        <is>
          <t>P/L %</t>
        </is>
      </c>
      <c r="N1" s="5" t="inlineStr">
        <is>
          <t>Days held</t>
        </is>
      </c>
      <c r="O1" s="5" t="inlineStr">
        <is>
          <t>Exit rule</t>
        </is>
      </c>
      <c r="P1" s="5" t="inlineStr">
        <is>
          <t>Status</t>
        </is>
      </c>
    </row>
    <row r="2">
      <c r="A2" s="6" t="inlineStr">
        <is>
          <t>TMO</t>
        </is>
      </c>
      <c r="B2" s="6" t="inlineStr">
        <is>
          <t>Thermo Fisher Scientific, Inc.</t>
        </is>
      </c>
      <c r="C2" s="22" t="n">
        <v>46322.71633101852</v>
      </c>
      <c r="D2" s="22" t="n">
        <v>46322.50799768518</v>
      </c>
      <c r="E2" s="17" t="n">
        <v>694.9299999999999</v>
      </c>
      <c r="F2" s="16" t="n">
        <v>11.986804426</v>
      </c>
      <c r="G2" s="17">
        <f>E2*F2</f>
        <v/>
      </c>
      <c r="H2" s="22" t="n">
        <v>46322.86784722222</v>
      </c>
      <c r="I2" s="22" t="n">
        <v>46322.65951388889</v>
      </c>
      <c r="J2" s="17" t="n">
        <v>699.1666739999999</v>
      </c>
      <c r="K2" s="17">
        <f>IF(ISNUMBER(J2),J2*F2,"")</f>
        <v/>
      </c>
      <c r="L2" s="23">
        <f>IF(ISNUMBER(J2),K2-G2,"")</f>
        <v/>
      </c>
      <c r="M2" s="24">
        <f>IF(ISNUMBER(J2),L2/G2,"")</f>
        <v/>
      </c>
      <c r="N2" s="25">
        <f>IF(ISNUMBER(H2),H2-C2,"")</f>
        <v/>
      </c>
      <c r="O2" s="6" t="inlineStr">
        <is>
          <t>evening under 5%</t>
        </is>
      </c>
      <c r="P2" s="6" t="inlineStr">
        <is>
          <t>Closed</t>
        </is>
      </c>
    </row>
    <row r="3">
      <c r="A3" s="6" t="inlineStr">
        <is>
          <t>SHEL</t>
        </is>
      </c>
      <c r="B3" s="6" t="inlineStr">
        <is>
          <t>Shell plc American Depositary Shares (Each represents two Ordinary shares)</t>
        </is>
      </c>
      <c r="C3" s="22" t="n">
        <v>46322.79560185185</v>
      </c>
      <c r="D3" s="22" t="n">
        <v>46322.58726851852</v>
      </c>
      <c r="E3" s="17" t="n">
        <v>104.93</v>
      </c>
      <c r="F3" s="16" t="n">
        <v>79.41675402600001</v>
      </c>
      <c r="G3" s="17">
        <f>E3*F3</f>
        <v/>
      </c>
      <c r="H3" s="22" t="n">
        <v>46322.8678125</v>
      </c>
      <c r="I3" s="22" t="n">
        <v>46322.65947916666</v>
      </c>
      <c r="J3" s="17" t="n">
        <v>104.96</v>
      </c>
      <c r="K3" s="17">
        <f>IF(ISNUMBER(J3),J3*F3,"")</f>
        <v/>
      </c>
      <c r="L3" s="23">
        <f>IF(ISNUMBER(J3),K3-G3,"")</f>
        <v/>
      </c>
      <c r="M3" s="24">
        <f>IF(ISNUMBER(J3),L3/G3,"")</f>
        <v/>
      </c>
      <c r="N3" s="25">
        <f>IF(ISNUMBER(H3),H3-C3,"")</f>
        <v/>
      </c>
      <c r="O3" s="6" t="inlineStr">
        <is>
          <t>evening under 5%</t>
        </is>
      </c>
      <c r="P3" s="6" t="inlineStr">
        <is>
          <t>Closed</t>
        </is>
      </c>
    </row>
    <row r="4">
      <c r="A4" s="6" t="inlineStr">
        <is>
          <t>SHEL</t>
        </is>
      </c>
      <c r="B4" s="6" t="inlineStr">
        <is>
          <t>Shell plc American Depositary Shares (Each represents two Ordinary shares)</t>
        </is>
      </c>
      <c r="C4" s="22" t="n">
        <v>46323.6061574074</v>
      </c>
      <c r="D4" s="22" t="n">
        <v>46323.39782407408</v>
      </c>
      <c r="E4" s="17" t="n">
        <v>105</v>
      </c>
      <c r="F4" s="16" t="n">
        <v>79.375047619</v>
      </c>
      <c r="G4" s="17">
        <f>E4*F4</f>
        <v/>
      </c>
      <c r="H4" s="22" t="n"/>
      <c r="I4" s="22" t="n"/>
      <c r="J4" s="17" t="n"/>
      <c r="K4" s="17">
        <f>IF(ISNUMBER(J4),J4*F4,"")</f>
        <v/>
      </c>
      <c r="L4" s="23">
        <f>IF(ISNUMBER(J4),K4-G4,"")</f>
        <v/>
      </c>
      <c r="M4" s="24">
        <f>IF(ISNUMBER(J4),L4/G4,"")</f>
        <v/>
      </c>
      <c r="N4" s="25">
        <f>IF(ISNUMBER(H4),H4-C4,"")</f>
        <v/>
      </c>
      <c r="O4" s="6" t="n"/>
      <c r="P4" s="6" t="inlineStr">
        <is>
          <t>Open</t>
        </is>
      </c>
    </row>
    <row r="5">
      <c r="A5" s="6" t="inlineStr">
        <is>
          <t>UTHR</t>
        </is>
      </c>
      <c r="B5" s="6" t="inlineStr">
        <is>
          <t>United Therapeutics Corporation Common Stock</t>
        </is>
      </c>
      <c r="C5" s="22" t="n">
        <v>46323.60626157407</v>
      </c>
      <c r="D5" s="22" t="n">
        <v>46323.39792824074</v>
      </c>
      <c r="E5" s="17" t="n">
        <v>585.96</v>
      </c>
      <c r="F5" s="16" t="n">
        <v>14.223462352</v>
      </c>
      <c r="G5" s="17">
        <f>E5*F5</f>
        <v/>
      </c>
      <c r="H5" s="22" t="n"/>
      <c r="I5" s="22" t="n"/>
      <c r="J5" s="17" t="n"/>
      <c r="K5" s="17">
        <f>IF(ISNUMBER(J5),J5*F5,"")</f>
        <v/>
      </c>
      <c r="L5" s="23">
        <f>IF(ISNUMBER(J5),K5-G5,"")</f>
        <v/>
      </c>
      <c r="M5" s="24">
        <f>IF(ISNUMBER(J5),L5/G5,"")</f>
        <v/>
      </c>
      <c r="N5" s="25">
        <f>IF(ISNUMBER(H5),H5-C5,"")</f>
        <v/>
      </c>
      <c r="O5" s="6" t="n"/>
      <c r="P5" s="6" t="inlineStr">
        <is>
          <t>Open</t>
        </is>
      </c>
    </row>
    <row r="6">
      <c r="A6" s="6" t="inlineStr">
        <is>
          <t>ILMN</t>
        </is>
      </c>
      <c r="B6" s="6" t="inlineStr">
        <is>
          <t>Illumina, Inc. Common Stock</t>
        </is>
      </c>
      <c r="C6" s="22" t="n">
        <v>46323.60633101852</v>
      </c>
      <c r="D6" s="22" t="n">
        <v>46323.39799768518</v>
      </c>
      <c r="E6" s="17" t="n">
        <v>281</v>
      </c>
      <c r="F6" s="16" t="n">
        <v>29.659715302</v>
      </c>
      <c r="G6" s="17">
        <f>E6*F6</f>
        <v/>
      </c>
      <c r="H6" s="22" t="n"/>
      <c r="I6" s="22" t="n"/>
      <c r="J6" s="17" t="n"/>
      <c r="K6" s="17">
        <f>IF(ISNUMBER(J6),J6*F6,"")</f>
        <v/>
      </c>
      <c r="L6" s="23">
        <f>IF(ISNUMBER(J6),K6-G6,"")</f>
        <v/>
      </c>
      <c r="M6" s="24">
        <f>IF(ISNUMBER(J6),L6/G6,"")</f>
        <v/>
      </c>
      <c r="N6" s="25">
        <f>IF(ISNUMBER(H6),H6-C6,"")</f>
        <v/>
      </c>
      <c r="O6" s="6" t="n"/>
      <c r="P6" s="6" t="inlineStr">
        <is>
          <t>Open</t>
        </is>
      </c>
    </row>
    <row r="7">
      <c r="A7" s="6" t="inlineStr">
        <is>
          <t>EBAY</t>
        </is>
      </c>
      <c r="B7" s="6" t="inlineStr">
        <is>
          <t>eBay Inc. Common Stock</t>
        </is>
      </c>
      <c r="C7" s="22" t="n">
        <v>46323.60640046297</v>
      </c>
      <c r="D7" s="22" t="n">
        <v>46323.39806712963</v>
      </c>
      <c r="E7" s="17" t="n">
        <v>118.837319</v>
      </c>
      <c r="F7" s="16" t="n">
        <v>70.13268309</v>
      </c>
      <c r="G7" s="17">
        <f>E7*F7</f>
        <v/>
      </c>
      <c r="H7" s="22" t="n"/>
      <c r="I7" s="22" t="n"/>
      <c r="J7" s="17" t="n"/>
      <c r="K7" s="17">
        <f>IF(ISNUMBER(J7),J7*F7,"")</f>
        <v/>
      </c>
      <c r="L7" s="23">
        <f>IF(ISNUMBER(J7),K7-G7,"")</f>
        <v/>
      </c>
      <c r="M7" s="24">
        <f>IF(ISNUMBER(J7),L7/G7,"")</f>
        <v/>
      </c>
      <c r="N7" s="25">
        <f>IF(ISNUMBER(H7),H7-C7,"")</f>
        <v/>
      </c>
      <c r="O7" s="6" t="n"/>
      <c r="P7" s="6" t="inlineStr">
        <is>
          <t>Open</t>
        </is>
      </c>
    </row>
    <row r="8">
      <c r="A8" s="6" t="inlineStr">
        <is>
          <t>DT</t>
        </is>
      </c>
      <c r="B8" s="6" t="inlineStr">
        <is>
          <t>Dynatrace, Inc.</t>
        </is>
      </c>
      <c r="C8" s="22" t="n">
        <v>46323.60652777777</v>
      </c>
      <c r="D8" s="22" t="n">
        <v>46323.39819444445</v>
      </c>
      <c r="E8" s="17" t="n">
        <v>63.965309</v>
      </c>
      <c r="F8" s="16" t="n">
        <v>130.2953125</v>
      </c>
      <c r="G8" s="17">
        <f>E8*F8</f>
        <v/>
      </c>
      <c r="H8" s="22" t="n"/>
      <c r="I8" s="22" t="n"/>
      <c r="J8" s="17" t="n"/>
      <c r="K8" s="17">
        <f>IF(ISNUMBER(J8),J8*F8,"")</f>
        <v/>
      </c>
      <c r="L8" s="23">
        <f>IF(ISNUMBER(J8),K8-G8,"")</f>
        <v/>
      </c>
      <c r="M8" s="24">
        <f>IF(ISNUMBER(J8),L8/G8,"")</f>
        <v/>
      </c>
      <c r="N8" s="25">
        <f>IF(ISNUMBER(H8),H8-C8,"")</f>
        <v/>
      </c>
      <c r="O8" s="6" t="n"/>
      <c r="P8" s="6" t="inlineStr">
        <is>
          <t>Open</t>
        </is>
      </c>
    </row>
    <row r="9">
      <c r="A9" s="6" t="inlineStr">
        <is>
          <t>MCK</t>
        </is>
      </c>
      <c r="B9" s="6" t="inlineStr">
        <is>
          <t>McKesson Corporation</t>
        </is>
      </c>
      <c r="C9" s="22" t="n">
        <v>46323.60681712963</v>
      </c>
      <c r="D9" s="22" t="n">
        <v>46323.3984837963</v>
      </c>
      <c r="E9" s="17" t="n">
        <v>966.85025</v>
      </c>
      <c r="F9" s="16" t="n">
        <v>8.620135337000001</v>
      </c>
      <c r="G9" s="17">
        <f>E9*F9</f>
        <v/>
      </c>
      <c r="H9" s="22" t="n"/>
      <c r="I9" s="22" t="n"/>
      <c r="J9" s="17" t="n"/>
      <c r="K9" s="17">
        <f>IF(ISNUMBER(J9),J9*F9,"")</f>
        <v/>
      </c>
      <c r="L9" s="23">
        <f>IF(ISNUMBER(J9),K9-G9,"")</f>
        <v/>
      </c>
      <c r="M9" s="24">
        <f>IF(ISNUMBER(J9),L9/G9,"")</f>
        <v/>
      </c>
      <c r="N9" s="25">
        <f>IF(ISNUMBER(H9),H9-C9,"")</f>
        <v/>
      </c>
      <c r="O9" s="6" t="n"/>
      <c r="P9" s="6" t="inlineStr">
        <is>
          <t>Open</t>
        </is>
      </c>
    </row>
    <row r="10">
      <c r="A10" s="6" t="inlineStr">
        <is>
          <t>TMO</t>
        </is>
      </c>
      <c r="B10" s="6" t="inlineStr">
        <is>
          <t>Thermo Fisher Scientific, Inc.</t>
        </is>
      </c>
      <c r="C10" s="22" t="n">
        <v>46323.60681712963</v>
      </c>
      <c r="D10" s="22" t="n">
        <v>46323.3984837963</v>
      </c>
      <c r="E10" s="17" t="n">
        <v>698.193445</v>
      </c>
      <c r="F10" s="16" t="n">
        <v>11.937064238</v>
      </c>
      <c r="G10" s="17">
        <f>E10*F10</f>
        <v/>
      </c>
      <c r="H10" s="22" t="n"/>
      <c r="I10" s="22" t="n"/>
      <c r="J10" s="17" t="n"/>
      <c r="K10" s="17">
        <f>IF(ISNUMBER(J10),J10*F10,"")</f>
        <v/>
      </c>
      <c r="L10" s="23">
        <f>IF(ISNUMBER(J10),K10-G10,"")</f>
        <v/>
      </c>
      <c r="M10" s="24">
        <f>IF(ISNUMBER(J10),L10/G10,"")</f>
        <v/>
      </c>
      <c r="N10" s="25">
        <f>IF(ISNUMBER(H10),H10-C10,"")</f>
        <v/>
      </c>
      <c r="O10" s="6" t="n"/>
      <c r="P10" s="6" t="inlineStr">
        <is>
          <t>Open</t>
        </is>
      </c>
    </row>
    <row r="11">
      <c r="A11" s="6" t="inlineStr">
        <is>
          <t>CBOE</t>
        </is>
      </c>
      <c r="B11" s="6" t="inlineStr">
        <is>
          <t>Cboe Global Markets, Inc.</t>
        </is>
      </c>
      <c r="C11" s="22" t="n">
        <v>46323.60716435185</v>
      </c>
      <c r="D11" s="22" t="n">
        <v>46323.39883101852</v>
      </c>
      <c r="E11" s="17" t="n">
        <v>322.603871</v>
      </c>
      <c r="F11" s="16" t="n">
        <v>25.834717916</v>
      </c>
      <c r="G11" s="17">
        <f>E11*F11</f>
        <v/>
      </c>
      <c r="H11" s="22" t="n"/>
      <c r="I11" s="22" t="n"/>
      <c r="J11" s="17" t="n"/>
      <c r="K11" s="17">
        <f>IF(ISNUMBER(J11),J11*F11,"")</f>
        <v/>
      </c>
      <c r="L11" s="23">
        <f>IF(ISNUMBER(J11),K11-G11,"")</f>
        <v/>
      </c>
      <c r="M11" s="24">
        <f>IF(ISNUMBER(J11),L11/G11,"")</f>
        <v/>
      </c>
      <c r="N11" s="25">
        <f>IF(ISNUMBER(H11),H11-C11,"")</f>
        <v/>
      </c>
      <c r="O11" s="6" t="n"/>
      <c r="P11" s="6" t="inlineStr">
        <is>
          <t>Open</t>
        </is>
      </c>
    </row>
    <row r="12">
      <c r="A12" s="6" t="inlineStr">
        <is>
          <t>OXY</t>
        </is>
      </c>
      <c r="B12" s="6" t="inlineStr">
        <is>
          <t>Occidental Petroleum Corporation</t>
        </is>
      </c>
      <c r="C12" s="22" t="n">
        <v>46323.60721064815</v>
      </c>
      <c r="D12" s="22" t="n">
        <v>46323.39887731482</v>
      </c>
      <c r="E12" s="17" t="n">
        <v>62.998354</v>
      </c>
      <c r="F12" s="16" t="n">
        <v>132.295201779</v>
      </c>
      <c r="G12" s="17">
        <f>E12*F12</f>
        <v/>
      </c>
      <c r="H12" s="22" t="n"/>
      <c r="I12" s="22" t="n"/>
      <c r="J12" s="17" t="n"/>
      <c r="K12" s="17">
        <f>IF(ISNUMBER(J12),J12*F12,"")</f>
        <v/>
      </c>
      <c r="L12" s="23">
        <f>IF(ISNUMBER(J12),K12-G12,"")</f>
        <v/>
      </c>
      <c r="M12" s="24">
        <f>IF(ISNUMBER(J12),L12/G12,"")</f>
        <v/>
      </c>
      <c r="N12" s="25">
        <f>IF(ISNUMBER(H12),H12-C12,"")</f>
        <v/>
      </c>
      <c r="O12" s="6" t="n"/>
      <c r="P12" s="6" t="inlineStr">
        <is>
          <t>Open</t>
        </is>
      </c>
    </row>
    <row r="13">
      <c r="A13" s="6" t="inlineStr">
        <is>
          <t>IQV</t>
        </is>
      </c>
      <c r="B13" s="6" t="inlineStr">
        <is>
          <t>IQVIA Holdings Inc.</t>
        </is>
      </c>
      <c r="C13" s="22" t="n">
        <v>46323.60728009259</v>
      </c>
      <c r="D13" s="22" t="n">
        <v>46323.39894675926</v>
      </c>
      <c r="E13" s="17" t="n">
        <v>274.520617</v>
      </c>
      <c r="F13" s="16" t="n">
        <v>15.179879934</v>
      </c>
      <c r="G13" s="17">
        <f>E13*F13</f>
        <v/>
      </c>
      <c r="H13" s="22" t="n">
        <v>46323.60892361111</v>
      </c>
      <c r="I13" s="22" t="n">
        <v>46323.40059027778</v>
      </c>
      <c r="J13" s="17" t="n">
        <v>273.44</v>
      </c>
      <c r="K13" s="17">
        <f>IF(ISNUMBER(J13),J13*F13,"")</f>
        <v/>
      </c>
      <c r="L13" s="23">
        <f>IF(ISNUMBER(J13),K13-G13,"")</f>
        <v/>
      </c>
      <c r="M13" s="24">
        <f>IF(ISNUMBER(J13),L13/G13,"")</f>
        <v/>
      </c>
      <c r="N13" s="25">
        <f>IF(ISNUMBER(H13),H13-C13,"")</f>
        <v/>
      </c>
      <c r="O13" s="6" t="inlineStr">
        <is>
          <t>3 green: sell half</t>
        </is>
      </c>
      <c r="P13" s="6" t="inlineStr">
        <is>
          <t>Closed</t>
        </is>
      </c>
    </row>
    <row r="14">
      <c r="A14" s="6" t="inlineStr">
        <is>
          <t>IQV</t>
        </is>
      </c>
      <c r="B14" s="6" t="inlineStr">
        <is>
          <t>IQVIA Holdings Inc.</t>
        </is>
      </c>
      <c r="C14" s="22" t="n">
        <v>46323.60728009259</v>
      </c>
      <c r="D14" s="22" t="n">
        <v>46323.39894675926</v>
      </c>
      <c r="E14" s="17" t="n">
        <v>274.520617</v>
      </c>
      <c r="F14" s="16" t="n">
        <v>15.179879935</v>
      </c>
      <c r="G14" s="17">
        <f>E14*F14</f>
        <v/>
      </c>
      <c r="H14" s="22" t="n"/>
      <c r="I14" s="22" t="n"/>
      <c r="J14" s="17" t="n"/>
      <c r="K14" s="17">
        <f>IF(ISNUMBER(J14),J14*F14,"")</f>
        <v/>
      </c>
      <c r="L14" s="23">
        <f>IF(ISNUMBER(J14),K14-G14,"")</f>
        <v/>
      </c>
      <c r="M14" s="24">
        <f>IF(ISNUMBER(J14),L14/G14,"")</f>
        <v/>
      </c>
      <c r="N14" s="25">
        <f>IF(ISNUMBER(H14),H14-C14,"")</f>
        <v/>
      </c>
      <c r="O14" s="6" t="n"/>
      <c r="P14" s="6" t="inlineStr">
        <is>
          <t>Open</t>
        </is>
      </c>
    </row>
    <row r="15">
      <c r="A15" s="6" t="inlineStr">
        <is>
          <t>MNST</t>
        </is>
      </c>
      <c r="B15" s="6" t="inlineStr">
        <is>
          <t>Monster Beverage Corporation</t>
        </is>
      </c>
      <c r="C15" s="22" t="n">
        <v>46323.60728009259</v>
      </c>
      <c r="D15" s="22" t="n">
        <v>46323.39894675926</v>
      </c>
      <c r="E15" s="17" t="n">
        <v>45.162906</v>
      </c>
      <c r="F15" s="16" t="n">
        <v>184.54038504</v>
      </c>
      <c r="G15" s="17">
        <f>E15*F15</f>
        <v/>
      </c>
      <c r="H15" s="22" t="n"/>
      <c r="I15" s="22" t="n"/>
      <c r="J15" s="17" t="n"/>
      <c r="K15" s="17">
        <f>IF(ISNUMBER(J15),J15*F15,"")</f>
        <v/>
      </c>
      <c r="L15" s="23">
        <f>IF(ISNUMBER(J15),K15-G15,"")</f>
        <v/>
      </c>
      <c r="M15" s="24">
        <f>IF(ISNUMBER(J15),L15/G15,"")</f>
        <v/>
      </c>
      <c r="N15" s="25">
        <f>IF(ISNUMBER(H15),H15-C15,"")</f>
        <v/>
      </c>
      <c r="O15" s="6" t="n"/>
      <c r="P15" s="6" t="inlineStr">
        <is>
          <t>Open</t>
        </is>
      </c>
    </row>
    <row r="16">
      <c r="A16" s="6" t="inlineStr">
        <is>
          <t>PBR.A</t>
        </is>
      </c>
      <c r="B16" s="6" t="inlineStr">
        <is>
          <t>Petroleo Brasileiro S.A.-Petrobras</t>
        </is>
      </c>
      <c r="C16" s="22" t="n">
        <v>46323.60732638889</v>
      </c>
      <c r="D16" s="22" t="n">
        <v>46323.39899305555</v>
      </c>
      <c r="E16" s="17" t="n">
        <v>19.69562</v>
      </c>
      <c r="F16" s="16" t="n">
        <v>211.579533941</v>
      </c>
      <c r="G16" s="17">
        <f>E16*F16</f>
        <v/>
      </c>
      <c r="H16" s="22" t="n">
        <v>46323.60894675926</v>
      </c>
      <c r="I16" s="22" t="n">
        <v>46323.40061342593</v>
      </c>
      <c r="J16" s="17" t="n">
        <v>19.755625</v>
      </c>
      <c r="K16" s="17">
        <f>IF(ISNUMBER(J16),J16*F16,"")</f>
        <v/>
      </c>
      <c r="L16" s="23">
        <f>IF(ISNUMBER(J16),K16-G16,"")</f>
        <v/>
      </c>
      <c r="M16" s="24">
        <f>IF(ISNUMBER(J16),L16/G16,"")</f>
        <v/>
      </c>
      <c r="N16" s="25">
        <f>IF(ISNUMBER(H16),H16-C16,"")</f>
        <v/>
      </c>
      <c r="O16" s="6" t="inlineStr">
        <is>
          <t>3 green: sell half</t>
        </is>
      </c>
      <c r="P16" s="6" t="inlineStr">
        <is>
          <t>Closed</t>
        </is>
      </c>
    </row>
    <row r="17">
      <c r="A17" s="6" t="inlineStr">
        <is>
          <t>PBR.A</t>
        </is>
      </c>
      <c r="B17" s="6" t="inlineStr">
        <is>
          <t>Petroleo Brasileiro S.A.-Petrobras</t>
        </is>
      </c>
      <c r="C17" s="22" t="n">
        <v>46323.60732638889</v>
      </c>
      <c r="D17" s="22" t="n">
        <v>46323.39899305555</v>
      </c>
      <c r="E17" s="17" t="n">
        <v>19.69562</v>
      </c>
      <c r="F17" s="16" t="n">
        <v>211.579533941</v>
      </c>
      <c r="G17" s="17">
        <f>E17*F17</f>
        <v/>
      </c>
      <c r="H17" s="22" t="n"/>
      <c r="I17" s="22" t="n"/>
      <c r="J17" s="17" t="n"/>
      <c r="K17" s="17">
        <f>IF(ISNUMBER(J17),J17*F17,"")</f>
        <v/>
      </c>
      <c r="L17" s="23">
        <f>IF(ISNUMBER(J17),K17-G17,"")</f>
        <v/>
      </c>
      <c r="M17" s="24">
        <f>IF(ISNUMBER(J17),L17/G17,"")</f>
        <v/>
      </c>
      <c r="N17" s="25">
        <f>IF(ISNUMBER(H17),H17-C17,"")</f>
        <v/>
      </c>
      <c r="O17" s="6" t="n"/>
      <c r="P17" s="6" t="inlineStr">
        <is>
          <t>Open</t>
        </is>
      </c>
    </row>
  </sheetData>
  <conditionalFormatting sqref="L2:M17">
    <cfRule type="cellIs" priority="1" operator="greaterThan" dxfId="0">
      <formula>0</formula>
    </cfRule>
  </conditionalFormatting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 ht="30" customHeight="1">
      <c r="A1" s="5" t="inlineStr">
        <is>
          <t>Rule</t>
        </is>
      </c>
      <c r="B1" s="5" t="inlineStr">
        <is>
          <t>What it does</t>
        </is>
      </c>
    </row>
    <row r="2">
      <c r="A2" s="26" t="inlineStr">
        <is>
          <t>Master switch</t>
        </is>
      </c>
      <c r="B2" s="26" t="inlineStr">
        <is>
          <t>Weekly time machine replays the last 6 months with these rules; if it would have lost money, no new buys</t>
        </is>
      </c>
    </row>
    <row r="3">
      <c r="A3" s="26" t="inlineStr">
        <is>
          <t>Buy</t>
        </is>
      </c>
      <c r="B3" s="26" t="inlineStr">
        <is>
          <t>4 or 5 of 5 green, time machine and data-is-real green (vetoes), nothing red, not already held; funds/ETFs skipped</t>
        </is>
      </c>
    </row>
    <row r="4">
      <c r="A4" s="26" t="inlineStr">
        <is>
          <t>Cash only</t>
        </is>
      </c>
      <c r="B4" s="26" t="inlineStr">
        <is>
          <t>Never uses margin</t>
        </is>
      </c>
    </row>
    <row r="5">
      <c r="A5" s="26" t="inlineStr">
        <is>
          <t>No buys before close</t>
        </is>
      </c>
      <c r="B5" s="26" t="inlineStr">
        <is>
          <t>Last 30 minutes of the session: sells only</t>
        </is>
      </c>
    </row>
    <row r="6">
      <c r="A6" s="26" t="inlineStr">
        <is>
          <t>Daily loss guard</t>
        </is>
      </c>
      <c r="B6" s="26" t="inlineStr">
        <is>
          <t>No new buys on a day the account is down 5% or more</t>
        </is>
      </c>
    </row>
    <row r="7">
      <c r="A7" s="26" t="inlineStr">
        <is>
          <t>Exit: 3 of 5 green</t>
        </is>
      </c>
      <c r="B7" s="26" t="inlineStr">
        <is>
          <t>Sell half, once (not again within 3 days)</t>
        </is>
      </c>
    </row>
    <row r="8">
      <c r="A8" s="26" t="inlineStr">
        <is>
          <t>Exit: 2 or fewer of 5, or time machine red</t>
        </is>
      </c>
      <c r="B8" s="26" t="inlineStr">
        <is>
          <t>Sell everything</t>
        </is>
      </c>
    </row>
    <row r="9">
      <c r="A9" s="26" t="inlineStr">
        <is>
          <t>Sell line</t>
        </is>
      </c>
      <c r="B9" s="26" t="inlineStr">
        <is>
          <t>5% below the highest price since buying, never lower than 5% under the buy price (bought 100, high 200: sells at 190). Also kept as a real Alpaca stop order that moves up with the price</t>
        </is>
      </c>
    </row>
    <row r="10">
      <c r="A10" s="26" t="inlineStr">
        <is>
          <t>Evening</t>
        </is>
      </c>
      <c r="B10" s="26" t="inlineStr">
        <is>
          <t>In the last 30 minutes before the close, everything up less than +5% is sold; +5% or more stays overnight. No buys in the last 30 minutes</t>
        </is>
      </c>
    </row>
    <row r="11">
      <c r="A11" s="26" t="inlineStr">
        <is>
          <t>Buy loop</t>
        </is>
      </c>
      <c r="B11" s="26" t="inlineStr">
        <is>
          <t>Each buy uses 8.33% of the cash available at that moment, repeated for every buy-ready stock (up to 12 stocks, orders of at least $5); never buys back a stock sold the same day</t>
        </is>
      </c>
    </row>
    <row r="12">
      <c r="A12" s="26" t="inlineStr">
        <is>
          <t>Bad day</t>
        </is>
      </c>
      <c r="B12" s="26" t="inlineStr">
        <is>
          <t>Down 3% today and not 5 of 5 green: sell everything</t>
        </is>
      </c>
    </row>
    <row r="13">
      <c r="A13" s="26" t="inlineStr">
        <is>
          <t>Take profit</t>
        </is>
      </c>
      <c r="B13" s="26" t="inlineStr">
        <is>
          <t>Off: winners keep running until the sell line or the close</t>
        </is>
      </c>
    </row>
    <row r="14">
      <c r="A14" s="26" t="inlineStr">
        <is>
          <t>Scope</t>
        </is>
      </c>
      <c r="B14" s="26" t="inlineStr">
        <is>
          <t>Only positions the auto-trader bought (client order ID starts with tdagent-)</t>
        </is>
      </c>
    </row>
    <row r="15">
      <c r="A15" s="26" t="inlineStr">
        <is>
          <t>Check 1 · Data is real</t>
        </is>
      </c>
      <c r="B15" s="26" t="inlineStr">
        <is>
          <t>Price agrees across trade, quote, minute, hourly and daily bars; history has no broken bars or holes</t>
        </is>
      </c>
    </row>
    <row r="16">
      <c r="A16" s="26" t="inlineStr">
        <is>
          <t>Check 2 · Organic</t>
        </is>
      </c>
      <c r="B16" s="26" t="inlineStr">
        <is>
          <t>No volume pump without news, no one-day jump doing the work, no gaps, no pump-and-fade, not thin</t>
        </is>
      </c>
    </row>
    <row r="17">
      <c r="A17" s="26" t="inlineStr">
        <is>
          <t>Check 3 · Prediction</t>
        </is>
      </c>
      <c r="B17" s="26" t="inlineStr">
        <is>
          <t>5-trading-day momentum call with a volatility range; green only when it leans up</t>
        </is>
      </c>
    </row>
    <row r="18">
      <c r="A18" s="26" t="inlineStr">
        <is>
          <t>Check 4 · News</t>
        </is>
      </c>
      <c r="B18" s="26" t="inlineStr">
        <is>
          <t>Headlines in the last 72 hours scored for high-impact words against today's move</t>
        </is>
      </c>
    </row>
    <row r="19">
      <c r="A19" s="26" t="inlineStr">
        <is>
          <t>Check 5 · Time machine</t>
        </is>
      </c>
      <c r="B19" s="26" t="inlineStr">
        <is>
          <t>Replays the stock's past year: on days it looked green, did it rise over the next 5 trading days? Green at 55%+ hit rate and positive average</t>
        </is>
      </c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2026-10-28T13:37:00Z</dcterms:created>
  <dcterms:modified xsi:type="dcterms:W3CDTF">2026-10-28T13:37:00Z</dcterms:modified>
</cp:coreProperties>
</file>