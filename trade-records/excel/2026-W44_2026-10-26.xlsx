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87" headerRowCount="1">
  <autoFilter ref="A1:BA87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42" headerRowCount="1">
  <autoFilter ref="A1:P42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46324.60480324074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46324.39646990741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COUNTIF(Orders!$E$2:$E$87,"BUY")+COUNTIF(Orders!$E$2:$E$87,"SELL")</f>
        <v/>
      </c>
    </row>
    <row r="9">
      <c r="A9" s="6" t="inlineStr">
        <is>
          <t>Buy orders</t>
        </is>
      </c>
      <c r="B9" s="7">
        <f>COUNTIF(Orders!$E$2:$E$87,"BUY")</f>
        <v/>
      </c>
    </row>
    <row r="10">
      <c r="A10" s="6" t="inlineStr">
        <is>
          <t>Sell orders</t>
        </is>
      </c>
      <c r="B10" s="7">
        <f>COUNTIF(Orders!$E$2:$E$87,"SELL")</f>
        <v/>
      </c>
    </row>
    <row r="11">
      <c r="A11" s="6" t="inlineStr">
        <is>
          <t>Filled orders</t>
        </is>
      </c>
      <c r="B11" s="7">
        <f>COUNTIF(Orders!$I$2:$I$87,"filled")</f>
        <v/>
      </c>
    </row>
    <row r="12">
      <c r="A12" s="6" t="inlineStr">
        <is>
          <t>Total bought $</t>
        </is>
      </c>
      <c r="B12" s="8">
        <f>SUMIFS(Orders!$L$2:$L$87,Orders!$E$2:$E$87,"BUY")</f>
        <v/>
      </c>
    </row>
    <row r="13">
      <c r="A13" s="6" t="inlineStr">
        <is>
          <t>Total sold $</t>
        </is>
      </c>
      <c r="B13" s="8">
        <f>SUMIFS(Orders!$L$2:$L$87,Orders!$E$2:$E$87,"SELL")</f>
        <v/>
      </c>
    </row>
    <row r="14">
      <c r="A14" s="6" t="inlineStr">
        <is>
          <t>Closed round trips</t>
        </is>
      </c>
      <c r="B14" s="7">
        <f>COUNTIF('Round trips'!$P$2:$P$42,"Closed")</f>
        <v/>
      </c>
    </row>
    <row r="15">
      <c r="A15" s="6" t="inlineStr">
        <is>
          <t>Open lots</t>
        </is>
      </c>
      <c r="B15" s="7">
        <f>COUNTIF('Round trips'!$P$2:$P$42,"Open")</f>
        <v/>
      </c>
    </row>
    <row r="16">
      <c r="A16" s="6" t="inlineStr">
        <is>
          <t>Realized P/L $</t>
        </is>
      </c>
      <c r="B16" s="9">
        <f>SUM('Round trips'!$L$2:$L$42)</f>
        <v/>
      </c>
    </row>
    <row r="17">
      <c r="A17" s="6" t="inlineStr">
        <is>
          <t>Winning round trips</t>
        </is>
      </c>
      <c r="B17" s="7">
        <f>COUNTIFS('Round trips'!$P$2:$P$42,"Closed",'Round trips'!$L$2:$L$42,"&gt;0")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87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46324.60471064815</v>
      </c>
      <c r="C76" s="13" t="n">
        <v>46324.39637731481</v>
      </c>
      <c r="D76" s="13" t="n">
        <v>46324.56304398148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pending_new</t>
        </is>
      </c>
      <c r="J76" s="16" t="n"/>
      <c r="K76" s="17" t="n"/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/>
      <c r="AZ76" s="13" t="n">
        <v>46324.56267361111</v>
      </c>
      <c r="BA76" s="6" t="n"/>
    </row>
    <row r="77">
      <c r="A77" s="12" t="n">
        <v>76</v>
      </c>
      <c r="B77" s="13" t="n">
        <v>46324.60471064815</v>
      </c>
      <c r="C77" s="13" t="n">
        <v>46324.39637731481</v>
      </c>
      <c r="D77" s="13" t="n">
        <v>46324.56304398148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pending_new</t>
        </is>
      </c>
      <c r="J77" s="16" t="n"/>
      <c r="K77" s="17" t="n"/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/>
      <c r="AZ77" s="13" t="n">
        <v>46324.56267361111</v>
      </c>
      <c r="BA77" s="6" t="n"/>
    </row>
    <row r="78">
      <c r="A78" s="12" t="n">
        <v>77</v>
      </c>
      <c r="B78" s="13" t="n">
        <v>46324.60472222222</v>
      </c>
      <c r="C78" s="13" t="n">
        <v>46324.39638888889</v>
      </c>
      <c r="D78" s="13" t="n">
        <v>46324.56305555555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pending_new</t>
        </is>
      </c>
      <c r="J78" s="16" t="n"/>
      <c r="K78" s="17" t="n"/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/>
      <c r="AZ78" s="13" t="n">
        <v>46324.56267361111</v>
      </c>
      <c r="BA78" s="6" t="n"/>
    </row>
    <row r="79">
      <c r="A79" s="12" t="n">
        <v>78</v>
      </c>
      <c r="B79" s="13" t="n">
        <v>46324.60472222222</v>
      </c>
      <c r="C79" s="13" t="n">
        <v>46324.39638888889</v>
      </c>
      <c r="D79" s="13" t="n">
        <v>46324.56305555555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pending_new</t>
        </is>
      </c>
      <c r="J79" s="16" t="n"/>
      <c r="K79" s="17" t="n"/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/>
      <c r="AZ79" s="13" t="n">
        <v>46324.56267361111</v>
      </c>
      <c r="BA79" s="6" t="n"/>
    </row>
    <row r="80">
      <c r="A80" s="12" t="n">
        <v>79</v>
      </c>
      <c r="B80" s="13" t="n">
        <v>46324.60472222222</v>
      </c>
      <c r="C80" s="13" t="n">
        <v>46324.39638888889</v>
      </c>
      <c r="D80" s="13" t="n">
        <v>46324.56305555555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pending_new</t>
        </is>
      </c>
      <c r="J80" s="16" t="n"/>
      <c r="K80" s="17" t="n"/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/>
      <c r="AZ80" s="13" t="n">
        <v>46324.56267361111</v>
      </c>
      <c r="BA80" s="6" t="n"/>
    </row>
    <row r="81">
      <c r="A81" s="12" t="n">
        <v>80</v>
      </c>
      <c r="B81" s="13" t="n">
        <v>46324.60472222222</v>
      </c>
      <c r="C81" s="13" t="n">
        <v>46324.39638888889</v>
      </c>
      <c r="D81" s="13" t="n">
        <v>46324.56305555555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pending_new</t>
        </is>
      </c>
      <c r="J81" s="16" t="n"/>
      <c r="K81" s="17" t="n"/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/>
      <c r="AZ81" s="13" t="n">
        <v>46324.56267361111</v>
      </c>
      <c r="BA81" s="6" t="n"/>
    </row>
    <row r="82">
      <c r="A82" s="12" t="n">
        <v>81</v>
      </c>
      <c r="B82" s="13" t="n">
        <v>46324.60472222222</v>
      </c>
      <c r="C82" s="13" t="n">
        <v>46324.39638888889</v>
      </c>
      <c r="D82" s="13" t="n">
        <v>46324.56305555555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pending_new</t>
        </is>
      </c>
      <c r="J82" s="16" t="n"/>
      <c r="K82" s="17" t="n"/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/>
      <c r="AZ82" s="13" t="n">
        <v>46324.56267361111</v>
      </c>
      <c r="BA82" s="6" t="n"/>
    </row>
    <row r="83">
      <c r="A83" s="12" t="n">
        <v>82</v>
      </c>
      <c r="B83" s="13" t="n">
        <v>46324.60472222222</v>
      </c>
      <c r="C83" s="13" t="n">
        <v>46324.39638888889</v>
      </c>
      <c r="D83" s="13" t="n">
        <v>46324.56305555555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pending_new</t>
        </is>
      </c>
      <c r="J83" s="16" t="n"/>
      <c r="K83" s="17" t="n"/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/>
      <c r="AZ83" s="13" t="n">
        <v>46324.56267361111</v>
      </c>
      <c r="BA83" s="6" t="n"/>
    </row>
    <row r="84">
      <c r="A84" s="12" t="n">
        <v>83</v>
      </c>
      <c r="B84" s="13" t="n">
        <v>46324.60472222222</v>
      </c>
      <c r="C84" s="13" t="n">
        <v>46324.39638888889</v>
      </c>
      <c r="D84" s="13" t="n">
        <v>46324.56305555555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pending_new</t>
        </is>
      </c>
      <c r="J84" s="16" t="n"/>
      <c r="K84" s="17" t="n"/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/>
      <c r="AZ84" s="13" t="n">
        <v>46324.56267361111</v>
      </c>
      <c r="BA84" s="6" t="n"/>
    </row>
    <row r="85">
      <c r="A85" s="12" t="n">
        <v>84</v>
      </c>
      <c r="B85" s="13" t="n">
        <v>46324.60472222222</v>
      </c>
      <c r="C85" s="13" t="n">
        <v>46324.39638888889</v>
      </c>
      <c r="D85" s="13" t="n">
        <v>46324.56305555555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pending_new</t>
        </is>
      </c>
      <c r="J85" s="16" t="n"/>
      <c r="K85" s="17" t="n"/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/>
      <c r="AZ85" s="13" t="n">
        <v>46324.56267361111</v>
      </c>
      <c r="BA85" s="6" t="n"/>
    </row>
    <row r="86">
      <c r="A86" s="12" t="n">
        <v>85</v>
      </c>
      <c r="B86" s="13" t="n">
        <v>46324.60472222222</v>
      </c>
      <c r="C86" s="13" t="n">
        <v>46324.39638888889</v>
      </c>
      <c r="D86" s="13" t="n">
        <v>46324.56305555555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pending_new</t>
        </is>
      </c>
      <c r="J86" s="16" t="n"/>
      <c r="K86" s="17" t="n"/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/>
      <c r="AZ86" s="13" t="n">
        <v>46324.56267361111</v>
      </c>
      <c r="BA86" s="6" t="n"/>
    </row>
    <row r="87">
      <c r="A87" s="12" t="n">
        <v>86</v>
      </c>
      <c r="B87" s="13" t="n">
        <v>46324.60472222222</v>
      </c>
      <c r="C87" s="13" t="n">
        <v>46324.39638888889</v>
      </c>
      <c r="D87" s="13" t="n">
        <v>46324.56305555555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pending_new</t>
        </is>
      </c>
      <c r="J87" s="16" t="n"/>
      <c r="K87" s="17" t="n"/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/>
      <c r="AZ87" s="13" t="n">
        <v>46324.56267361111</v>
      </c>
      <c r="BA87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</sheetData>
  <conditionalFormatting sqref="L2:M42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2026-10-29T13:30:55Z</dcterms:created>
  <dcterms:modified xsi:type="dcterms:W3CDTF">2026-10-29T13:30:55Z</dcterms:modified>
</cp:coreProperties>
</file>