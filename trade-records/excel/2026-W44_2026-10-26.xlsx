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72" headerRowCount="1">
  <autoFilter ref="A1:BA172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4" headerRowCount="1">
  <autoFilter ref="A1:P104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46325.6299074074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46325.42157407408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COUNTIF(Orders!$E$2:$E$172,"BUY")+COUNTIF(Orders!$E$2:$E$172,"SELL")</f>
        <v/>
      </c>
    </row>
    <row r="9">
      <c r="A9" s="6" t="inlineStr">
        <is>
          <t>Buy orders</t>
        </is>
      </c>
      <c r="B9" s="7">
        <f>COUNTIF(Orders!$E$2:$E$172,"BUY")</f>
        <v/>
      </c>
    </row>
    <row r="10">
      <c r="A10" s="6" t="inlineStr">
        <is>
          <t>Sell orders</t>
        </is>
      </c>
      <c r="B10" s="7">
        <f>COUNTIF(Orders!$E$2:$E$172,"SELL")</f>
        <v/>
      </c>
    </row>
    <row r="11">
      <c r="A11" s="6" t="inlineStr">
        <is>
          <t>Filled orders</t>
        </is>
      </c>
      <c r="B11" s="7">
        <f>COUNTIF(Orders!$I$2:$I$172,"filled")</f>
        <v/>
      </c>
    </row>
    <row r="12">
      <c r="A12" s="6" t="inlineStr">
        <is>
          <t>Total bought $</t>
        </is>
      </c>
      <c r="B12" s="8">
        <f>SUMIFS(Orders!$L$2:$L$172,Orders!$E$2:$E$172,"BUY")</f>
        <v/>
      </c>
    </row>
    <row r="13">
      <c r="A13" s="6" t="inlineStr">
        <is>
          <t>Total sold $</t>
        </is>
      </c>
      <c r="B13" s="8">
        <f>SUMIFS(Orders!$L$2:$L$172,Orders!$E$2:$E$172,"SELL")</f>
        <v/>
      </c>
    </row>
    <row r="14">
      <c r="A14" s="6" t="inlineStr">
        <is>
          <t>Closed round trips</t>
        </is>
      </c>
      <c r="B14" s="7">
        <f>COUNTIF('Round trips'!$P$2:$P$104,"Closed")</f>
        <v/>
      </c>
    </row>
    <row r="15">
      <c r="A15" s="6" t="inlineStr">
        <is>
          <t>Open lots</t>
        </is>
      </c>
      <c r="B15" s="7">
        <f>COUNTIF('Round trips'!$P$2:$P$104,"Open")</f>
        <v/>
      </c>
    </row>
    <row r="16">
      <c r="A16" s="6" t="inlineStr">
        <is>
          <t>Realized P/L $</t>
        </is>
      </c>
      <c r="B16" s="9">
        <f>SUM('Round trips'!$L$2:$L$104)</f>
        <v/>
      </c>
    </row>
    <row r="17">
      <c r="A17" s="6" t="inlineStr">
        <is>
          <t>Winning round trips</t>
        </is>
      </c>
      <c r="B17" s="7">
        <f>COUNTIFS('Round trips'!$P$2:$P$104,"Closed",'Round trips'!$L$2:$L$104,"&gt;0")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72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  <row r="166">
      <c r="A166" s="12" t="n">
        <v>165</v>
      </c>
      <c r="B166" s="13" t="n">
        <v>46325.62011574074</v>
      </c>
      <c r="C166" s="13" t="n">
        <v>46325.41178240741</v>
      </c>
      <c r="D166" s="13" t="n">
        <v>46325.57844907408</v>
      </c>
      <c r="E166" s="21" t="inlineStr">
        <is>
          <t>SELL</t>
        </is>
      </c>
      <c r="F166" s="6" t="inlineStr">
        <is>
          <t>CTSH</t>
        </is>
      </c>
      <c r="G166" s="15" t="n"/>
      <c r="H166" s="6" t="n"/>
      <c r="I166" s="6" t="inlineStr">
        <is>
          <t>filled</t>
        </is>
      </c>
      <c r="J166" s="16" t="n">
        <v>10.809917355</v>
      </c>
      <c r="K166" s="17" t="n">
        <v>64.54000000000001</v>
      </c>
      <c r="L166" s="17">
        <f>IF(AND(ISNUMBER(J166),ISNUMBER(K166)),J166*K166,"")</f>
        <v/>
      </c>
      <c r="M166" s="17" t="n"/>
      <c r="N166" s="16" t="n">
        <v>10.809917355</v>
      </c>
      <c r="O166" s="6" t="inlineStr">
        <is>
          <t>stop-loss (Alpaca order)</t>
        </is>
      </c>
      <c r="P166" s="15" t="inlineStr">
        <is>
          <t>Alpaca stop order triggered at 64.6 (the stock's sell line)</t>
        </is>
      </c>
      <c r="Q166" s="12" t="n"/>
      <c r="R166" s="6" t="n"/>
      <c r="S166" s="18" t="n"/>
      <c r="T166" s="12" t="n"/>
      <c r="U166" s="19" t="n"/>
      <c r="V166" s="19" t="n"/>
      <c r="W166" s="12" t="n"/>
      <c r="X166" s="6" t="n"/>
      <c r="Y166" s="19" t="n"/>
      <c r="Z166" s="6" t="n"/>
      <c r="AA166" s="12" t="n"/>
      <c r="AB166" s="15" t="n"/>
      <c r="AC166" s="6" t="n"/>
      <c r="AD166" s="6" t="n"/>
      <c r="AE166" s="17" t="n"/>
      <c r="AF166" s="17" t="n"/>
      <c r="AG166" s="17" t="n"/>
      <c r="AH166" s="20" t="n"/>
      <c r="AI166" s="18" t="n"/>
      <c r="AJ166" s="6" t="n"/>
      <c r="AK166" s="12" t="n"/>
      <c r="AL166" s="15" t="n"/>
      <c r="AM166" s="17" t="n"/>
      <c r="AN166" s="19" t="n"/>
      <c r="AO166" s="17" t="n"/>
      <c r="AP166" s="17" t="n"/>
      <c r="AQ166" s="19" t="n"/>
      <c r="AR166" s="16" t="n"/>
      <c r="AS166" s="17" t="n"/>
      <c r="AT166" s="19" t="n"/>
      <c r="AU166" s="6" t="inlineStr">
        <is>
          <t>paper</t>
        </is>
      </c>
      <c r="AV166" s="6" t="inlineStr">
        <is>
          <t>1ed4d5c6-13bc-4722-92dd-a9fe2f2cf5eb</t>
        </is>
      </c>
      <c r="AW166" s="6" t="inlineStr">
        <is>
          <t>tdagent-stop-CTSH-1793367804635</t>
        </is>
      </c>
      <c r="AX166" s="13" t="n">
        <v>46325.57180555556</v>
      </c>
      <c r="AY166" s="13" t="n">
        <v>46325.57844907408</v>
      </c>
      <c r="AZ166" s="13" t="n"/>
      <c r="BA166" s="6" t="n"/>
    </row>
    <row r="167">
      <c r="A167" s="12" t="n">
        <v>166</v>
      </c>
      <c r="B167" s="13" t="n">
        <v>46325.61847222222</v>
      </c>
      <c r="C167" s="13" t="n">
        <v>46325.41013888889</v>
      </c>
      <c r="D167" s="13" t="n">
        <v>46325.57680555555</v>
      </c>
      <c r="E167" s="21" t="inlineStr">
        <is>
          <t>SELL</t>
        </is>
      </c>
      <c r="F167" s="6" t="inlineStr">
        <is>
          <t>CBOE</t>
        </is>
      </c>
      <c r="G167" s="15" t="n"/>
      <c r="H167" s="6" t="n"/>
      <c r="I167" s="6" t="inlineStr">
        <is>
          <t>filled</t>
        </is>
      </c>
      <c r="J167" s="16" t="n">
        <v>2.096661021</v>
      </c>
      <c r="K167" s="17" t="n">
        <v>331.63</v>
      </c>
      <c r="L167" s="17">
        <f>IF(AND(ISNUMBER(J167),ISNUMBER(K167)),J167*K167,"")</f>
        <v/>
      </c>
      <c r="M167" s="17" t="n"/>
      <c r="N167" s="16" t="n">
        <v>2.096661021</v>
      </c>
      <c r="O167" s="6" t="inlineStr">
        <is>
          <t>stop-loss (Alpaca order)</t>
        </is>
      </c>
      <c r="P167" s="15" t="inlineStr">
        <is>
          <t>Alpaca stop order triggered at 332.16 (the stock's sell line)</t>
        </is>
      </c>
      <c r="Q167" s="12" t="n"/>
      <c r="R167" s="6" t="n"/>
      <c r="S167" s="18" t="n"/>
      <c r="T167" s="12" t="n"/>
      <c r="U167" s="19" t="n"/>
      <c r="V167" s="19" t="n"/>
      <c r="W167" s="12" t="n"/>
      <c r="X167" s="6" t="n"/>
      <c r="Y167" s="19" t="n"/>
      <c r="Z167" s="6" t="n"/>
      <c r="AA167" s="12" t="n"/>
      <c r="AB167" s="15" t="n"/>
      <c r="AC167" s="6" t="n"/>
      <c r="AD167" s="6" t="n"/>
      <c r="AE167" s="17" t="n"/>
      <c r="AF167" s="17" t="n"/>
      <c r="AG167" s="17" t="n"/>
      <c r="AH167" s="20" t="n"/>
      <c r="AI167" s="18" t="n"/>
      <c r="AJ167" s="6" t="n"/>
      <c r="AK167" s="12" t="n"/>
      <c r="AL167" s="15" t="n"/>
      <c r="AM167" s="17" t="n"/>
      <c r="AN167" s="19" t="n"/>
      <c r="AO167" s="17" t="n"/>
      <c r="AP167" s="17" t="n"/>
      <c r="AQ167" s="19" t="n"/>
      <c r="AR167" s="16" t="n"/>
      <c r="AS167" s="17" t="n"/>
      <c r="AT167" s="19" t="n"/>
      <c r="AU167" s="6" t="inlineStr">
        <is>
          <t>paper</t>
        </is>
      </c>
      <c r="AV167" s="6" t="inlineStr">
        <is>
          <t>c460c6de-6c52-49a0-b1fb-549025e69b46</t>
        </is>
      </c>
      <c r="AW167" s="6" t="inlineStr">
        <is>
          <t>tdagent-stop-CBOE-1793368021815</t>
        </is>
      </c>
      <c r="AX167" s="13" t="n">
        <v>46325.5743287037</v>
      </c>
      <c r="AY167" s="13" t="n">
        <v>46325.57680555555</v>
      </c>
      <c r="AZ167" s="13" t="n"/>
      <c r="BA167" s="6" t="n"/>
    </row>
    <row r="168">
      <c r="A168" s="12" t="n">
        <v>167</v>
      </c>
      <c r="B168" s="13" t="n">
        <v>46325.61717592592</v>
      </c>
      <c r="C168" s="13" t="n">
        <v>46325.40884259259</v>
      </c>
      <c r="D168" s="13" t="n">
        <v>46325.57550925926</v>
      </c>
      <c r="E168" s="21" t="inlineStr">
        <is>
          <t>SELL</t>
        </is>
      </c>
      <c r="F168" s="6" t="inlineStr">
        <is>
          <t>NTRA</t>
        </is>
      </c>
      <c r="G168" s="15" t="inlineStr">
        <is>
          <t>NTRA</t>
        </is>
      </c>
      <c r="H168" s="6" t="inlineStr">
        <is>
          <t>NASDAQ</t>
        </is>
      </c>
      <c r="I168" s="6" t="inlineStr">
        <is>
          <t>filled</t>
        </is>
      </c>
      <c r="J168" s="16" t="n">
        <v>3.215063542</v>
      </c>
      <c r="K168" s="17" t="n">
        <v>421.1</v>
      </c>
      <c r="L168" s="17">
        <f>IF(AND(ISNUMBER(J168),ISNUMBER(K168)),J168*K168,"")</f>
        <v/>
      </c>
      <c r="M168" s="17" t="n"/>
      <c r="N168" s="16" t="n">
        <v>3.215063542</v>
      </c>
      <c r="O168" s="6" t="inlineStr">
        <is>
          <t>bad day</t>
        </is>
      </c>
      <c r="P168" s="15" t="inlineStr">
        <is>
          <t>Bad day: down 3.1% today and only 4 of 5 green</t>
        </is>
      </c>
      <c r="Q168" s="12" t="n">
        <v>4</v>
      </c>
      <c r="R168" s="6" t="inlineStr">
        <is>
          <t>ok</t>
        </is>
      </c>
      <c r="S168" s="18" t="n">
        <v>0.701</v>
      </c>
      <c r="T168" s="12" t="n">
        <v>67</v>
      </c>
      <c r="U168" s="19" t="n">
        <v>0.0292</v>
      </c>
      <c r="V168" s="19" t="n">
        <v>0.2893</v>
      </c>
      <c r="W168" s="12" t="n"/>
      <c r="X168" s="6" t="inlineStr">
        <is>
          <t>ok</t>
        </is>
      </c>
      <c r="Y168" s="19" t="n">
        <v>0.0007000000000000001</v>
      </c>
      <c r="Z168" s="6" t="inlineStr">
        <is>
          <t>ok</t>
        </is>
      </c>
      <c r="AA168" s="12" t="n">
        <v>100</v>
      </c>
      <c r="AB168" s="15" t="n"/>
      <c r="AC168" s="6" t="inlineStr">
        <is>
          <t>ok</t>
        </is>
      </c>
      <c r="AD168" s="6" t="inlineStr">
        <is>
          <t>up</t>
        </is>
      </c>
      <c r="AE168" s="17" t="n">
        <v>435.9801</v>
      </c>
      <c r="AF168" s="17" t="n">
        <v>403.1548</v>
      </c>
      <c r="AG168" s="17" t="n">
        <v>468.8054</v>
      </c>
      <c r="AH168" s="20" t="n">
        <v>46332</v>
      </c>
      <c r="AI168" s="18" t="n">
        <v>0.53</v>
      </c>
      <c r="AJ168" s="6" t="inlineStr">
        <is>
          <t>alert</t>
        </is>
      </c>
      <c r="AK168" s="12" t="n">
        <v>4</v>
      </c>
      <c r="AL168" s="15" t="inlineStr">
        <is>
          <t>Natera CEO Steven Leonard Chapman Sells Shares Worth $2.38 Million</t>
        </is>
      </c>
      <c r="AM168" s="17" t="n">
        <v>422.85</v>
      </c>
      <c r="AN168" s="19" t="n">
        <v>-0.0302</v>
      </c>
      <c r="AO168" s="17" t="n">
        <v>99252.42</v>
      </c>
      <c r="AP168" s="17" t="n">
        <v>11037.02</v>
      </c>
      <c r="AQ168" s="19" t="n">
        <v>0.0833</v>
      </c>
      <c r="AR168" s="16" t="n">
        <v>3.215063542</v>
      </c>
      <c r="AS168" s="17" t="n">
        <v>428.85</v>
      </c>
      <c r="AT168" s="19" t="n">
        <v>-0.0147</v>
      </c>
      <c r="AU168" s="6" t="inlineStr">
        <is>
          <t>paper</t>
        </is>
      </c>
      <c r="AV168" s="6" t="inlineStr">
        <is>
          <t>ac6a8cbc-e6a8-42b8-91e3-d185ec717ce6</t>
        </is>
      </c>
      <c r="AW168" s="6" t="inlineStr">
        <is>
          <t>tdagent-sell-NTRA-1793368122275</t>
        </is>
      </c>
      <c r="AX168" s="13" t="n">
        <v>46325.57548611111</v>
      </c>
      <c r="AY168" s="13" t="n">
        <v>46325.57550925926</v>
      </c>
      <c r="AZ168" s="13" t="n">
        <v>46325.57515046297</v>
      </c>
      <c r="BA168" s="6" t="n"/>
    </row>
    <row r="169">
      <c r="A169" s="12" t="n">
        <v>168</v>
      </c>
      <c r="B169" s="13" t="n">
        <v>46325.61721064815</v>
      </c>
      <c r="C169" s="13" t="n">
        <v>46325.40887731482</v>
      </c>
      <c r="D169" s="13" t="n">
        <v>46325.57554398148</v>
      </c>
      <c r="E169" s="14" t="inlineStr">
        <is>
          <t>BUY</t>
        </is>
      </c>
      <c r="F169" s="6" t="inlineStr">
        <is>
          <t>NTSK</t>
        </is>
      </c>
      <c r="G169" s="15" t="inlineStr">
        <is>
          <t>Netskope, Inc. Class A Common Stock</t>
        </is>
      </c>
      <c r="H169" s="6" t="inlineStr">
        <is>
          <t>NASDAQ</t>
        </is>
      </c>
      <c r="I169" s="6" t="inlineStr">
        <is>
          <t>filled</t>
        </is>
      </c>
      <c r="J169" s="16" t="n">
        <v>36.050548589</v>
      </c>
      <c r="K169" s="17" t="n">
        <v>25.502247</v>
      </c>
      <c r="L169" s="17">
        <f>IF(AND(ISNUMBER(J169),ISNUMBER(K169)),J169*K169,"")</f>
        <v/>
      </c>
      <c r="M169" s="17" t="n">
        <v>919.38</v>
      </c>
      <c r="N169" s="16" t="n"/>
      <c r="O169" s="6" t="inlineStr">
        <is>
          <t>4+/5 green</t>
        </is>
      </c>
      <c r="P169" s="15" t="inlineStr">
        <is>
          <t>5 of 5 green, time machine green, rank #1, 8.33% of the $11,037.02 free cash split 12 ways</t>
        </is>
      </c>
      <c r="Q169" s="12" t="n">
        <v>5</v>
      </c>
      <c r="R169" s="6" t="inlineStr">
        <is>
          <t>ok</t>
        </is>
      </c>
      <c r="S169" s="18" t="n">
        <v>0.643</v>
      </c>
      <c r="T169" s="12" t="n">
        <v>42</v>
      </c>
      <c r="U169" s="19" t="n">
        <v>0.0316</v>
      </c>
      <c r="V169" s="19" t="n">
        <v>0.2893</v>
      </c>
      <c r="W169" s="12" t="n">
        <v>1</v>
      </c>
      <c r="X169" s="6" t="inlineStr">
        <is>
          <t>ok</t>
        </is>
      </c>
      <c r="Y169" s="19" t="n">
        <v>0.002</v>
      </c>
      <c r="Z169" s="6" t="inlineStr">
        <is>
          <t>ok</t>
        </is>
      </c>
      <c r="AA169" s="12" t="n">
        <v>100</v>
      </c>
      <c r="AB169" s="15" t="n"/>
      <c r="AC169" s="6" t="inlineStr">
        <is>
          <t>ok</t>
        </is>
      </c>
      <c r="AD169" s="6" t="inlineStr">
        <is>
          <t>up</t>
        </is>
      </c>
      <c r="AE169" s="17" t="n">
        <v>26.5923</v>
      </c>
      <c r="AF169" s="17" t="n">
        <v>24.0616</v>
      </c>
      <c r="AG169" s="17" t="n">
        <v>29.123</v>
      </c>
      <c r="AH169" s="20" t="n">
        <v>46332</v>
      </c>
      <c r="AI169" s="18" t="n">
        <v>0.58</v>
      </c>
      <c r="AJ169" s="6" t="inlineStr">
        <is>
          <t>ok</t>
        </is>
      </c>
      <c r="AK169" s="12" t="n">
        <v>0</v>
      </c>
      <c r="AL169" s="15" t="n"/>
      <c r="AM169" s="17" t="n">
        <v>25.58</v>
      </c>
      <c r="AN169" s="19" t="n">
        <v>-0.0233</v>
      </c>
      <c r="AO169" s="17" t="n">
        <v>99252.42</v>
      </c>
      <c r="AP169" s="17" t="n">
        <v>11037.02</v>
      </c>
      <c r="AQ169" s="19" t="n">
        <v>0.0833</v>
      </c>
      <c r="AR169" s="16" t="n"/>
      <c r="AS169" s="17" t="n"/>
      <c r="AT169" s="19" t="n"/>
      <c r="AU169" s="6" t="inlineStr">
        <is>
          <t>paper</t>
        </is>
      </c>
      <c r="AV169" s="6" t="inlineStr">
        <is>
          <t>ca38c263-e885-4d83-bc75-f4be21270219</t>
        </is>
      </c>
      <c r="AW169" s="6" t="inlineStr">
        <is>
          <t>tdagent-buy-NTSK-1793368122524</t>
        </is>
      </c>
      <c r="AX169" s="13" t="n">
        <v>46325.57548611111</v>
      </c>
      <c r="AY169" s="13" t="n">
        <v>46325.57554398148</v>
      </c>
      <c r="AZ169" s="13" t="n">
        <v>46325.57515046297</v>
      </c>
      <c r="BA169" s="6" t="n"/>
    </row>
    <row r="170">
      <c r="A170" s="12" t="n">
        <v>169</v>
      </c>
      <c r="B170" s="13" t="n">
        <v>46325.6212037037</v>
      </c>
      <c r="C170" s="13" t="n">
        <v>46325.41287037037</v>
      </c>
      <c r="D170" s="13" t="n">
        <v>46325.57953703704</v>
      </c>
      <c r="E170" s="21" t="inlineStr">
        <is>
          <t>SELL</t>
        </is>
      </c>
      <c r="F170" s="6" t="inlineStr">
        <is>
          <t>AVTR</t>
        </is>
      </c>
      <c r="G170" s="15" t="inlineStr">
        <is>
          <t>AVTR</t>
        </is>
      </c>
      <c r="H170" s="6" t="inlineStr">
        <is>
          <t>NYSE</t>
        </is>
      </c>
      <c r="I170" s="6" t="inlineStr">
        <is>
          <t>filled</t>
        </is>
      </c>
      <c r="J170" s="16" t="n">
        <v>506</v>
      </c>
      <c r="K170" s="17" t="n">
        <v>16.09581</v>
      </c>
      <c r="L170" s="17">
        <f>IF(AND(ISNUMBER(J170),ISNUMBER(K170)),J170*K170,"")</f>
        <v/>
      </c>
      <c r="M170" s="17" t="n"/>
      <c r="N170" s="16" t="n">
        <v>506</v>
      </c>
      <c r="O170" s="6" t="inlineStr">
        <is>
          <t>bad day</t>
        </is>
      </c>
      <c r="P170" s="15" t="inlineStr">
        <is>
          <t>Bad day: down 3.6% today and only 4 of 5 green</t>
        </is>
      </c>
      <c r="Q170" s="12" t="n">
        <v>4</v>
      </c>
      <c r="R170" s="6" t="inlineStr">
        <is>
          <t>ok</t>
        </is>
      </c>
      <c r="S170" s="18" t="n">
        <v>0.823</v>
      </c>
      <c r="T170" s="12" t="n">
        <v>62</v>
      </c>
      <c r="U170" s="19" t="n">
        <v>0.0453</v>
      </c>
      <c r="V170" s="19" t="n">
        <v>0.2893</v>
      </c>
      <c r="W170" s="12" t="n"/>
      <c r="X170" s="6" t="inlineStr">
        <is>
          <t>ok</t>
        </is>
      </c>
      <c r="Y170" s="19" t="n">
        <v>0.0005999999999999999</v>
      </c>
      <c r="Z170" s="6" t="inlineStr">
        <is>
          <t>ok</t>
        </is>
      </c>
      <c r="AA170" s="12" t="n">
        <v>100</v>
      </c>
      <c r="AB170" s="15" t="n"/>
      <c r="AC170" s="6" t="inlineStr">
        <is>
          <t>ok</t>
        </is>
      </c>
      <c r="AD170" s="6" t="inlineStr">
        <is>
          <t>up</t>
        </is>
      </c>
      <c r="AE170" s="17" t="n">
        <v>16.4138</v>
      </c>
      <c r="AF170" s="17" t="n">
        <v>15.7543</v>
      </c>
      <c r="AG170" s="17" t="n">
        <v>17.0734</v>
      </c>
      <c r="AH170" s="20" t="n">
        <v>46332</v>
      </c>
      <c r="AI170" s="18" t="n">
        <v>0.55</v>
      </c>
      <c r="AJ170" s="6" t="inlineStr">
        <is>
          <t>alert</t>
        </is>
      </c>
      <c r="AK170" s="12" t="n">
        <v>10</v>
      </c>
      <c r="AL170" s="15" t="inlineStr">
        <is>
          <t>Avantor Q3 2026 Earnings Call Transcript</t>
        </is>
      </c>
      <c r="AM170" s="17" t="n">
        <v>16.155</v>
      </c>
      <c r="AN170" s="19" t="n">
        <v>-0.0315</v>
      </c>
      <c r="AO170" s="17" t="n">
        <v>99175.84</v>
      </c>
      <c r="AP170" s="17" t="n">
        <v>12864.5</v>
      </c>
      <c r="AQ170" s="19" t="n">
        <v>0.0833</v>
      </c>
      <c r="AR170" s="16" t="n">
        <v>506</v>
      </c>
      <c r="AS170" s="17" t="n">
        <v>16.368458</v>
      </c>
      <c r="AT170" s="19" t="n">
        <v>-0.0176</v>
      </c>
      <c r="AU170" s="6" t="inlineStr">
        <is>
          <t>paper</t>
        </is>
      </c>
      <c r="AV170" s="6" t="inlineStr">
        <is>
          <t>5a2aff3f-e025-4347-b4bc-5b807d79a3dd</t>
        </is>
      </c>
      <c r="AW170" s="6" t="inlineStr">
        <is>
          <t>tdagent-sell-AVTR-1793368471561</t>
        </is>
      </c>
      <c r="AX170" s="13" t="n">
        <v>46325.57952546296</v>
      </c>
      <c r="AY170" s="13" t="n">
        <v>46325.57953703704</v>
      </c>
      <c r="AZ170" s="13" t="n">
        <v>46325.57931712963</v>
      </c>
      <c r="BA170" s="6" t="n"/>
    </row>
    <row r="171">
      <c r="A171" s="12" t="n">
        <v>170</v>
      </c>
      <c r="B171" s="13" t="n">
        <v>46325.62579861111</v>
      </c>
      <c r="C171" s="13" t="n">
        <v>46325.41746527778</v>
      </c>
      <c r="D171" s="13" t="n">
        <v>46325.58413194444</v>
      </c>
      <c r="E171" s="14" t="inlineStr">
        <is>
          <t>BUY</t>
        </is>
      </c>
      <c r="F171" s="6" t="inlineStr">
        <is>
          <t>TENB</t>
        </is>
      </c>
      <c r="G171" s="15" t="inlineStr">
        <is>
          <t>Tenable Holdings, Inc. Common Stock</t>
        </is>
      </c>
      <c r="H171" s="6" t="inlineStr">
        <is>
          <t>NASDAQ</t>
        </is>
      </c>
      <c r="I171" s="6" t="inlineStr">
        <is>
          <t>filled</t>
        </is>
      </c>
      <c r="J171" s="16" t="n">
        <v>34.46297755</v>
      </c>
      <c r="K171" s="17" t="n">
        <v>50.78</v>
      </c>
      <c r="L171" s="17">
        <f>IF(AND(ISNUMBER(J171),ISNUMBER(K171)),J171*K171,"")</f>
        <v/>
      </c>
      <c r="M171" s="17" t="n">
        <v>1750.04</v>
      </c>
      <c r="N171" s="16" t="n"/>
      <c r="O171" s="6" t="inlineStr">
        <is>
          <t>4+/5 green</t>
        </is>
      </c>
      <c r="P171" s="15" t="inlineStr">
        <is>
          <t>4 of 5 green, time machine green, rank #4, 8.33% of the $21,008.98 free cash split 12 ways</t>
        </is>
      </c>
      <c r="Q171" s="12" t="n">
        <v>4</v>
      </c>
      <c r="R171" s="6" t="inlineStr">
        <is>
          <t>ok</t>
        </is>
      </c>
      <c r="S171" s="18" t="n">
        <v>0.625</v>
      </c>
      <c r="T171" s="12" t="n">
        <v>32</v>
      </c>
      <c r="U171" s="19" t="n">
        <v>0.0703</v>
      </c>
      <c r="V171" s="19" t="n">
        <v>0.2893</v>
      </c>
      <c r="W171" s="12" t="n">
        <v>4</v>
      </c>
      <c r="X171" s="6" t="inlineStr">
        <is>
          <t>ok</t>
        </is>
      </c>
      <c r="Y171" s="19" t="n">
        <v>0.0038</v>
      </c>
      <c r="Z171" s="6" t="inlineStr">
        <is>
          <t>ok</t>
        </is>
      </c>
      <c r="AA171" s="12" t="n">
        <v>100</v>
      </c>
      <c r="AB171" s="15" t="n"/>
      <c r="AC171" s="6" t="inlineStr">
        <is>
          <t>ok</t>
        </is>
      </c>
      <c r="AD171" s="6" t="inlineStr">
        <is>
          <t>up</t>
        </is>
      </c>
      <c r="AE171" s="17" t="n">
        <v>52.721</v>
      </c>
      <c r="AF171" s="17" t="n">
        <v>47.506</v>
      </c>
      <c r="AG171" s="17" t="n">
        <v>57.9361</v>
      </c>
      <c r="AH171" s="20" t="n">
        <v>46332</v>
      </c>
      <c r="AI171" s="18" t="n">
        <v>0.5600000000000001</v>
      </c>
      <c r="AJ171" s="6" t="inlineStr">
        <is>
          <t>watch</t>
        </is>
      </c>
      <c r="AK171" s="12" t="n">
        <v>10</v>
      </c>
      <c r="AL171" s="15" t="inlineStr">
        <is>
          <t>Canaccord Genuity Maintains Buy on Tenable Holdings, Raises Price Target to $54</t>
        </is>
      </c>
      <c r="AM171" s="17" t="n">
        <v>50.83</v>
      </c>
      <c r="AN171" s="19" t="n">
        <v>-0.0219</v>
      </c>
      <c r="AO171" s="17" t="n">
        <v>99162.94</v>
      </c>
      <c r="AP171" s="17" t="n">
        <v>21008.98</v>
      </c>
      <c r="AQ171" s="19" t="n">
        <v>0.0833</v>
      </c>
      <c r="AR171" s="16" t="n"/>
      <c r="AS171" s="17" t="n"/>
      <c r="AT171" s="19" t="n"/>
      <c r="AU171" s="6" t="inlineStr">
        <is>
          <t>paper</t>
        </is>
      </c>
      <c r="AV171" s="6" t="inlineStr">
        <is>
          <t>df26cb82-ab44-4a98-98a5-5d4ad6ebca75</t>
        </is>
      </c>
      <c r="AW171" s="6" t="inlineStr">
        <is>
          <t>tdagent-buy-TENB-1793368866439</t>
        </is>
      </c>
      <c r="AX171" s="13" t="n">
        <v>46325.58409722222</v>
      </c>
      <c r="AY171" s="13" t="n">
        <v>46325.58413194444</v>
      </c>
      <c r="AZ171" s="13" t="n">
        <v>46325.58353009259</v>
      </c>
      <c r="BA171" s="6" t="n"/>
    </row>
    <row r="172">
      <c r="A172" s="12" t="n">
        <v>171</v>
      </c>
      <c r="B172" s="13" t="n">
        <v>46325.62979166667</v>
      </c>
      <c r="C172" s="13" t="n">
        <v>46325.42145833333</v>
      </c>
      <c r="D172" s="13" t="n">
        <v>46325.588125</v>
      </c>
      <c r="E172" s="14" t="inlineStr">
        <is>
          <t>BUY</t>
        </is>
      </c>
      <c r="F172" s="6" t="inlineStr">
        <is>
          <t>DT</t>
        </is>
      </c>
      <c r="G172" s="15" t="inlineStr">
        <is>
          <t>Dynatrace, Inc.</t>
        </is>
      </c>
      <c r="H172" s="6" t="inlineStr">
        <is>
          <t>NYSE</t>
        </is>
      </c>
      <c r="I172" s="6" t="inlineStr">
        <is>
          <t>filled</t>
        </is>
      </c>
      <c r="J172" s="16" t="n">
        <v>27.311201906</v>
      </c>
      <c r="K172" s="17" t="n">
        <v>58.74</v>
      </c>
      <c r="L172" s="17">
        <f>IF(AND(ISNUMBER(J172),ISNUMBER(K172)),J172*K172,"")</f>
        <v/>
      </c>
      <c r="M172" s="17" t="n">
        <v>1604.27</v>
      </c>
      <c r="N172" s="16" t="n"/>
      <c r="O172" s="6" t="inlineStr">
        <is>
          <t>4+/5 green</t>
        </is>
      </c>
      <c r="P172" s="15" t="inlineStr">
        <is>
          <t>5 of 5 green, time machine green, rank #1, 8.33% of the $19,258.95 free cash split 12 ways</t>
        </is>
      </c>
      <c r="Q172" s="12" t="n">
        <v>5</v>
      </c>
      <c r="R172" s="6" t="inlineStr">
        <is>
          <t>ok</t>
        </is>
      </c>
      <c r="S172" s="18" t="n">
        <v>0.623</v>
      </c>
      <c r="T172" s="12" t="n">
        <v>53</v>
      </c>
      <c r="U172" s="19" t="n">
        <v>0.0115</v>
      </c>
      <c r="V172" s="19" t="n">
        <v>0.2893</v>
      </c>
      <c r="W172" s="12" t="n">
        <v>1</v>
      </c>
      <c r="X172" s="6" t="inlineStr">
        <is>
          <t>ok</t>
        </is>
      </c>
      <c r="Y172" s="19" t="n">
        <v>0.0008</v>
      </c>
      <c r="Z172" s="6" t="inlineStr">
        <is>
          <t>ok</t>
        </is>
      </c>
      <c r="AA172" s="12" t="n">
        <v>100</v>
      </c>
      <c r="AB172" s="15" t="n"/>
      <c r="AC172" s="6" t="inlineStr">
        <is>
          <t>ok</t>
        </is>
      </c>
      <c r="AD172" s="6" t="inlineStr">
        <is>
          <t>up</t>
        </is>
      </c>
      <c r="AE172" s="17" t="n">
        <v>59.837</v>
      </c>
      <c r="AF172" s="17" t="n">
        <v>56.957</v>
      </c>
      <c r="AG172" s="17" t="n">
        <v>62.7169</v>
      </c>
      <c r="AH172" s="20" t="n">
        <v>46332</v>
      </c>
      <c r="AI172" s="18" t="n">
        <v>0.53</v>
      </c>
      <c r="AJ172" s="6" t="inlineStr">
        <is>
          <t>ok</t>
        </is>
      </c>
      <c r="AK172" s="12" t="n">
        <v>2</v>
      </c>
      <c r="AL172" s="15" t="inlineStr">
        <is>
          <t>Cantor Fitzgerald Maintains Neutral on Dynatrace, Raises Price Target to $65</t>
        </is>
      </c>
      <c r="AM172" s="17" t="n">
        <v>58.64</v>
      </c>
      <c r="AN172" s="19" t="n">
        <v>-0.0375</v>
      </c>
      <c r="AO172" s="17" t="n">
        <v>98992.64</v>
      </c>
      <c r="AP172" s="17" t="n">
        <v>19258.95</v>
      </c>
      <c r="AQ172" s="19" t="n">
        <v>0.0833</v>
      </c>
      <c r="AR172" s="16" t="n"/>
      <c r="AS172" s="17" t="n"/>
      <c r="AT172" s="19" t="n"/>
      <c r="AU172" s="6" t="inlineStr">
        <is>
          <t>paper</t>
        </is>
      </c>
      <c r="AV172" s="6" t="inlineStr">
        <is>
          <t>6f7f923d-4a6d-435f-8adf-d0b1a958b583</t>
        </is>
      </c>
      <c r="AW172" s="6" t="inlineStr">
        <is>
          <t>tdagent-buy-DT-1793369214139</t>
        </is>
      </c>
      <c r="AX172" s="13" t="n">
        <v>46325.588125</v>
      </c>
      <c r="AY172" s="13" t="n">
        <v>46325.588125</v>
      </c>
      <c r="AZ172" s="13" t="n">
        <v>46325.58769675926</v>
      </c>
      <c r="BA172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4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/>
      <c r="I75" s="22" t="n"/>
      <c r="J75" s="17" t="n"/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n"/>
      <c r="P75" s="6" t="inlineStr">
        <is>
          <t>Open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/>
      <c r="I78" s="22" t="n"/>
      <c r="J78" s="17" t="n"/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n"/>
      <c r="P78" s="6" t="inlineStr">
        <is>
          <t>Open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>
        <v>46325.6212037037</v>
      </c>
      <c r="I83" s="22" t="n">
        <v>46325.41287037037</v>
      </c>
      <c r="J83" s="17" t="n">
        <v>16.09581</v>
      </c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inlineStr">
        <is>
          <t>bad day</t>
        </is>
      </c>
      <c r="P83" s="6" t="inlineStr">
        <is>
          <t>Closed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/>
      <c r="I86" s="22" t="n"/>
      <c r="J86" s="17" t="n"/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n"/>
      <c r="P86" s="6" t="inlineStr">
        <is>
          <t>Open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/>
      <c r="I90" s="22" t="n"/>
      <c r="J90" s="17" t="n"/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n"/>
      <c r="P90" s="6" t="inlineStr">
        <is>
          <t>Open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>
        <v>46325.61847222222</v>
      </c>
      <c r="I94" s="22" t="n">
        <v>46325.41013888889</v>
      </c>
      <c r="J94" s="17" t="n">
        <v>331.63</v>
      </c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inlineStr">
        <is>
          <t>stop-loss (Alpaca order)</t>
        </is>
      </c>
      <c r="P94" s="6" t="inlineStr">
        <is>
          <t>Closed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>
        <v>46325.62011574074</v>
      </c>
      <c r="I95" s="22" t="n">
        <v>46325.41178240741</v>
      </c>
      <c r="J95" s="17" t="n">
        <v>64.54000000000001</v>
      </c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inlineStr">
        <is>
          <t>stop-loss (Alpaca order)</t>
        </is>
      </c>
      <c r="P95" s="6" t="inlineStr">
        <is>
          <t>Closed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/>
      <c r="I96" s="22" t="n"/>
      <c r="J96" s="17" t="n"/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n"/>
      <c r="P96" s="6" t="inlineStr">
        <is>
          <t>Open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>
        <v>46325.61717592592</v>
      </c>
      <c r="I98" s="22" t="n">
        <v>46325.40884259259</v>
      </c>
      <c r="J98" s="17" t="n">
        <v>421.1</v>
      </c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inlineStr">
        <is>
          <t>bad day</t>
        </is>
      </c>
      <c r="P98" s="6" t="inlineStr">
        <is>
          <t>Closed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/>
      <c r="I99" s="22" t="n"/>
      <c r="J99" s="17" t="n"/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n"/>
      <c r="P99" s="6" t="inlineStr">
        <is>
          <t>Open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/>
      <c r="I100" s="22" t="n"/>
      <c r="J100" s="17" t="n"/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n"/>
      <c r="P100" s="6" t="inlineStr">
        <is>
          <t>Open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/>
      <c r="I101" s="22" t="n"/>
      <c r="J101" s="17" t="n"/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n"/>
      <c r="P101" s="6" t="inlineStr">
        <is>
          <t>Open</t>
        </is>
      </c>
    </row>
    <row r="102">
      <c r="A102" s="6" t="inlineStr">
        <is>
          <t>NTSK</t>
        </is>
      </c>
      <c r="B102" s="6" t="inlineStr">
        <is>
          <t>Netskope, Inc. Class A Common Stock</t>
        </is>
      </c>
      <c r="C102" s="22" t="n">
        <v>46325.61721064815</v>
      </c>
      <c r="D102" s="22" t="n">
        <v>46325.40887731482</v>
      </c>
      <c r="E102" s="17" t="n">
        <v>25.502247</v>
      </c>
      <c r="F102" s="16" t="n">
        <v>36.050548589</v>
      </c>
      <c r="G102" s="17">
        <f>E102*F102</f>
        <v/>
      </c>
      <c r="H102" s="22" t="n"/>
      <c r="I102" s="22" t="n"/>
      <c r="J102" s="17" t="n"/>
      <c r="K102" s="17">
        <f>IF(ISNUMBER(J102),J102*F102,"")</f>
        <v/>
      </c>
      <c r="L102" s="23">
        <f>IF(ISNUMBER(J102),K102-G102,"")</f>
        <v/>
      </c>
      <c r="M102" s="24">
        <f>IF(ISNUMBER(J102),L102/G102,"")</f>
        <v/>
      </c>
      <c r="N102" s="25">
        <f>IF(ISNUMBER(H102),H102-C102,"")</f>
        <v/>
      </c>
      <c r="O102" s="6" t="n"/>
      <c r="P102" s="6" t="inlineStr">
        <is>
          <t>Open</t>
        </is>
      </c>
    </row>
    <row r="103">
      <c r="A103" s="6" t="inlineStr">
        <is>
          <t>TENB</t>
        </is>
      </c>
      <c r="B103" s="6" t="inlineStr">
        <is>
          <t>Tenable Holdings, Inc. Common Stock</t>
        </is>
      </c>
      <c r="C103" s="22" t="n">
        <v>46325.62579861111</v>
      </c>
      <c r="D103" s="22" t="n">
        <v>46325.41746527778</v>
      </c>
      <c r="E103" s="17" t="n">
        <v>50.78</v>
      </c>
      <c r="F103" s="16" t="n">
        <v>34.46297755</v>
      </c>
      <c r="G103" s="17">
        <f>E103*F103</f>
        <v/>
      </c>
      <c r="H103" s="22" t="n"/>
      <c r="I103" s="22" t="n"/>
      <c r="J103" s="17" t="n"/>
      <c r="K103" s="17">
        <f>IF(ISNUMBER(J103),J103*F103,"")</f>
        <v/>
      </c>
      <c r="L103" s="23">
        <f>IF(ISNUMBER(J103),K103-G103,"")</f>
        <v/>
      </c>
      <c r="M103" s="24">
        <f>IF(ISNUMBER(J103),L103/G103,"")</f>
        <v/>
      </c>
      <c r="N103" s="25">
        <f>IF(ISNUMBER(H103),H103-C103,"")</f>
        <v/>
      </c>
      <c r="O103" s="6" t="n"/>
      <c r="P103" s="6" t="inlineStr">
        <is>
          <t>Open</t>
        </is>
      </c>
    </row>
    <row r="104">
      <c r="A104" s="6" t="inlineStr">
        <is>
          <t>DT</t>
        </is>
      </c>
      <c r="B104" s="6" t="inlineStr">
        <is>
          <t>Dynatrace, Inc.</t>
        </is>
      </c>
      <c r="C104" s="22" t="n">
        <v>46325.62979166667</v>
      </c>
      <c r="D104" s="22" t="n">
        <v>46325.42145833333</v>
      </c>
      <c r="E104" s="17" t="n">
        <v>58.74</v>
      </c>
      <c r="F104" s="16" t="n">
        <v>27.311201906</v>
      </c>
      <c r="G104" s="17">
        <f>E104*F104</f>
        <v/>
      </c>
      <c r="H104" s="22" t="n"/>
      <c r="I104" s="22" t="n"/>
      <c r="J104" s="17" t="n"/>
      <c r="K104" s="17">
        <f>IF(ISNUMBER(J104),J104*F104,"")</f>
        <v/>
      </c>
      <c r="L104" s="23">
        <f>IF(ISNUMBER(J104),K104-G104,"")</f>
        <v/>
      </c>
      <c r="M104" s="24">
        <f>IF(ISNUMBER(J104),L104/G104,"")</f>
        <v/>
      </c>
      <c r="N104" s="25">
        <f>IF(ISNUMBER(H104),H104-C104,"")</f>
        <v/>
      </c>
      <c r="O104" s="6" t="n"/>
      <c r="P104" s="6" t="inlineStr">
        <is>
          <t>Open</t>
        </is>
      </c>
    </row>
  </sheetData>
  <conditionalFormatting sqref="L2:M104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2026-10-30T14:07:04Z</dcterms:created>
  <dcterms:modified xsi:type="dcterms:W3CDTF">2026-10-30T14:07:05Z</dcterms:modified>
</cp:coreProperties>
</file>