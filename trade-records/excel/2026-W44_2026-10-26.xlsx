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00" headerRowCount="1">
  <autoFilter ref="A1:BA100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66" headerRowCount="1">
  <autoFilter ref="A1:P66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46324.67849537037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46324.47016203704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COUNTIF(Orders!$E$2:$E$100,"BUY")+COUNTIF(Orders!$E$2:$E$100,"SELL")</f>
        <v/>
      </c>
    </row>
    <row r="9">
      <c r="A9" s="6" t="inlineStr">
        <is>
          <t>Buy orders</t>
        </is>
      </c>
      <c r="B9" s="7">
        <f>COUNTIF(Orders!$E$2:$E$100,"BUY")</f>
        <v/>
      </c>
    </row>
    <row r="10">
      <c r="A10" s="6" t="inlineStr">
        <is>
          <t>Sell orders</t>
        </is>
      </c>
      <c r="B10" s="7">
        <f>COUNTIF(Orders!$E$2:$E$100,"SELL")</f>
        <v/>
      </c>
    </row>
    <row r="11">
      <c r="A11" s="6" t="inlineStr">
        <is>
          <t>Filled orders</t>
        </is>
      </c>
      <c r="B11" s="7">
        <f>COUNTIF(Orders!$I$2:$I$100,"filled")</f>
        <v/>
      </c>
    </row>
    <row r="12">
      <c r="A12" s="6" t="inlineStr">
        <is>
          <t>Total bought $</t>
        </is>
      </c>
      <c r="B12" s="8">
        <f>SUMIFS(Orders!$L$2:$L$100,Orders!$E$2:$E$100,"BUY")</f>
        <v/>
      </c>
    </row>
    <row r="13">
      <c r="A13" s="6" t="inlineStr">
        <is>
          <t>Total sold $</t>
        </is>
      </c>
      <c r="B13" s="8">
        <f>SUMIFS(Orders!$L$2:$L$100,Orders!$E$2:$E$100,"SELL")</f>
        <v/>
      </c>
    </row>
    <row r="14">
      <c r="A14" s="6" t="inlineStr">
        <is>
          <t>Closed round trips</t>
        </is>
      </c>
      <c r="B14" s="7">
        <f>COUNTIF('Round trips'!$P$2:$P$66,"Closed")</f>
        <v/>
      </c>
    </row>
    <row r="15">
      <c r="A15" s="6" t="inlineStr">
        <is>
          <t>Open lots</t>
        </is>
      </c>
      <c r="B15" s="7">
        <f>COUNTIF('Round trips'!$P$2:$P$66,"Open")</f>
        <v/>
      </c>
    </row>
    <row r="16">
      <c r="A16" s="6" t="inlineStr">
        <is>
          <t>Realized P/L $</t>
        </is>
      </c>
      <c r="B16" s="9">
        <f>SUM('Round trips'!$L$2:$L$66)</f>
        <v/>
      </c>
    </row>
    <row r="17">
      <c r="A17" s="6" t="inlineStr">
        <is>
          <t>Winning round trips</t>
        </is>
      </c>
      <c r="B17" s="7">
        <f>COUNTIFS('Round trips'!$P$2:$P$66,"Closed",'Round trips'!$L$2:$L$66,"&gt;0")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00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6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/>
      <c r="I45" s="22" t="n"/>
      <c r="J45" s="17" t="n"/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n"/>
      <c r="P45" s="6" t="inlineStr">
        <is>
          <t>Open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/>
      <c r="I50" s="22" t="n"/>
      <c r="J50" s="17" t="n"/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n"/>
      <c r="P50" s="6" t="inlineStr">
        <is>
          <t>Open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/>
      <c r="I57" s="22" t="n"/>
      <c r="J57" s="17" t="n"/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n"/>
      <c r="P57" s="6" t="inlineStr">
        <is>
          <t>Open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3.658320493</v>
      </c>
      <c r="G58" s="17">
        <f>E58*F58</f>
        <v/>
      </c>
      <c r="H58" s="22" t="n"/>
      <c r="I58" s="22" t="n"/>
      <c r="J58" s="17" t="n"/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n"/>
      <c r="P58" s="6" t="inlineStr">
        <is>
          <t>Open</t>
        </is>
      </c>
    </row>
    <row r="59">
      <c r="A59" s="6" t="inlineStr">
        <is>
          <t>SHEL</t>
        </is>
      </c>
      <c r="B59" s="6" t="inlineStr">
        <is>
          <t>Shell plc American Depositary Shares (Each represents two Ordinary shares)</t>
        </is>
      </c>
      <c r="C59" s="22" t="n">
        <v>46324.67835648148</v>
      </c>
      <c r="D59" s="22" t="n">
        <v>46324.47002314815</v>
      </c>
      <c r="E59" s="17" t="n">
        <v>107.49</v>
      </c>
      <c r="F59" s="16" t="n">
        <v>6.184668341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DUK</t>
        </is>
      </c>
      <c r="B60" s="6" t="inlineStr">
        <is>
          <t>Duke Energy Corporation</t>
        </is>
      </c>
      <c r="C60" s="22" t="n">
        <v>46324.67835648148</v>
      </c>
      <c r="D60" s="22" t="n">
        <v>46324.47002314815</v>
      </c>
      <c r="E60" s="17" t="n">
        <v>125.74</v>
      </c>
      <c r="F60" s="16" t="n">
        <v>5.287020836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DT</t>
        </is>
      </c>
      <c r="B61" s="6" t="inlineStr">
        <is>
          <t>Dynatrace, Inc.</t>
        </is>
      </c>
      <c r="C61" s="22" t="n">
        <v>46324.67835648148</v>
      </c>
      <c r="D61" s="22" t="n">
        <v>46324.47002314815</v>
      </c>
      <c r="E61" s="17" t="n">
        <v>60.75</v>
      </c>
      <c r="F61" s="16" t="n">
        <v>10.943045267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KR</t>
        </is>
      </c>
      <c r="B62" s="6" t="inlineStr">
        <is>
          <t>The Kroger Co.</t>
        </is>
      </c>
      <c r="C62" s="22" t="n">
        <v>46324.67835648148</v>
      </c>
      <c r="D62" s="22" t="n">
        <v>46324.47002314815</v>
      </c>
      <c r="E62" s="17" t="n">
        <v>65.48</v>
      </c>
      <c r="F62" s="16" t="n">
        <v>10.152565668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ACN</t>
        </is>
      </c>
      <c r="B63" s="6" t="inlineStr">
        <is>
          <t>Accenture PLC</t>
        </is>
      </c>
      <c r="C63" s="22" t="n">
        <v>46324.67835648148</v>
      </c>
      <c r="D63" s="22" t="n">
        <v>46324.47002314815</v>
      </c>
      <c r="E63" s="17" t="n">
        <v>243.84</v>
      </c>
      <c r="F63" s="16" t="n">
        <v>2.726336942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ILMN</t>
        </is>
      </c>
      <c r="B64" s="6" t="inlineStr">
        <is>
          <t>Illumina, Inc. Common Stock</t>
        </is>
      </c>
      <c r="C64" s="22" t="n">
        <v>46324.67835648148</v>
      </c>
      <c r="D64" s="22" t="n">
        <v>46324.47002314815</v>
      </c>
      <c r="E64" s="17" t="n">
        <v>288.56</v>
      </c>
      <c r="F64" s="16" t="n">
        <v>2.303818963</v>
      </c>
      <c r="G64" s="17">
        <f>E64*F64</f>
        <v/>
      </c>
      <c r="H64" s="22" t="n"/>
      <c r="I64" s="22" t="n"/>
      <c r="J64" s="17" t="n"/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n"/>
      <c r="P64" s="6" t="inlineStr">
        <is>
          <t>Open</t>
        </is>
      </c>
    </row>
    <row r="65">
      <c r="A65" s="6" t="inlineStr">
        <is>
          <t>LIN</t>
        </is>
      </c>
      <c r="B65" s="6" t="inlineStr">
        <is>
          <t>Linde plc Ordinary Shares</t>
        </is>
      </c>
      <c r="C65" s="22" t="n">
        <v>46324.67836805555</v>
      </c>
      <c r="D65" s="22" t="n">
        <v>46324.47003472222</v>
      </c>
      <c r="E65" s="17" t="n">
        <v>501.46</v>
      </c>
      <c r="F65" s="16" t="n">
        <v>1.325708929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EQNR</t>
        </is>
      </c>
      <c r="B66" s="6" t="inlineStr">
        <is>
          <t>Equinor ASA American Depositary Shares (Each Representing One Ordinary Share, nominal value NOK 2.50 per share)</t>
        </is>
      </c>
      <c r="C66" s="22" t="n">
        <v>46324.67839120371</v>
      </c>
      <c r="D66" s="22" t="n">
        <v>46324.47005787037</v>
      </c>
      <c r="E66" s="17" t="n">
        <v>47.09</v>
      </c>
      <c r="F66" s="16" t="n">
        <v>14.117434699</v>
      </c>
      <c r="G66" s="17">
        <f>E66*F66</f>
        <v/>
      </c>
      <c r="H66" s="22" t="n"/>
      <c r="I66" s="22" t="n"/>
      <c r="J66" s="17" t="n"/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n"/>
      <c r="P66" s="6" t="inlineStr">
        <is>
          <t>Open</t>
        </is>
      </c>
    </row>
  </sheetData>
  <conditionalFormatting sqref="L2:M66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2026-10-29T15:17:02Z</dcterms:created>
  <dcterms:modified xsi:type="dcterms:W3CDTF">2026-10-29T15:17:02Z</dcterms:modified>
</cp:coreProperties>
</file>