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37" headerRowCount="1">
  <autoFilter ref="A1:BA37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4" headerRowCount="1">
  <autoFilter ref="A1:P34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46323.67783564814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46323.46950231482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COUNTIF(Orders!$E$2:$E$37,"BUY")+COUNTIF(Orders!$E$2:$E$37,"SELL")</f>
        <v/>
      </c>
    </row>
    <row r="9">
      <c r="A9" s="6" t="inlineStr">
        <is>
          <t>Buy orders</t>
        </is>
      </c>
      <c r="B9" s="7">
        <f>COUNTIF(Orders!$E$2:$E$37,"BUY")</f>
        <v/>
      </c>
    </row>
    <row r="10">
      <c r="A10" s="6" t="inlineStr">
        <is>
          <t>Sell orders</t>
        </is>
      </c>
      <c r="B10" s="7">
        <f>COUNTIF(Orders!$E$2:$E$37,"SELL")</f>
        <v/>
      </c>
    </row>
    <row r="11">
      <c r="A11" s="6" t="inlineStr">
        <is>
          <t>Filled orders</t>
        </is>
      </c>
      <c r="B11" s="7">
        <f>COUNTIF(Orders!$I$2:$I$37,"filled")</f>
        <v/>
      </c>
    </row>
    <row r="12">
      <c r="A12" s="6" t="inlineStr">
        <is>
          <t>Total bought $</t>
        </is>
      </c>
      <c r="B12" s="8">
        <f>SUMIFS(Orders!$L$2:$L$37,Orders!$E$2:$E$37,"BUY")</f>
        <v/>
      </c>
    </row>
    <row r="13">
      <c r="A13" s="6" t="inlineStr">
        <is>
          <t>Total sold $</t>
        </is>
      </c>
      <c r="B13" s="8">
        <f>SUMIFS(Orders!$L$2:$L$37,Orders!$E$2:$E$37,"SELL")</f>
        <v/>
      </c>
    </row>
    <row r="14">
      <c r="A14" s="6" t="inlineStr">
        <is>
          <t>Closed round trips</t>
        </is>
      </c>
      <c r="B14" s="7">
        <f>COUNTIF('Round trips'!$P$2:$P$34,"Closed")</f>
        <v/>
      </c>
    </row>
    <row r="15">
      <c r="A15" s="6" t="inlineStr">
        <is>
          <t>Open lots</t>
        </is>
      </c>
      <c r="B15" s="7">
        <f>COUNTIF('Round trips'!$P$2:$P$34,"Open")</f>
        <v/>
      </c>
    </row>
    <row r="16">
      <c r="A16" s="6" t="inlineStr">
        <is>
          <t>Realized P/L $</t>
        </is>
      </c>
      <c r="B16" s="9">
        <f>SUM('Round trips'!$L$2:$L$34)</f>
        <v/>
      </c>
    </row>
    <row r="17">
      <c r="A17" s="6" t="inlineStr">
        <is>
          <t>Winning round trips</t>
        </is>
      </c>
      <c r="B17" s="7">
        <f>COUNTIFS('Round trips'!$P$2:$P$34,"Closed",'Round trips'!$L$2:$L$34,"&gt;0")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3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/>
      <c r="I27" s="22" t="n"/>
      <c r="J27" s="17" t="n"/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n"/>
      <c r="P27" s="6" t="inlineStr">
        <is>
          <t>Open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15.180142255</v>
      </c>
      <c r="G29" s="17">
        <f>E29*F29</f>
        <v/>
      </c>
      <c r="H29" s="22" t="n"/>
      <c r="I29" s="22" t="n"/>
      <c r="J29" s="17" t="n"/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n"/>
      <c r="P29" s="6" t="inlineStr">
        <is>
          <t>Open</t>
        </is>
      </c>
    </row>
    <row r="30">
      <c r="A30" s="6" t="inlineStr">
        <is>
          <t>CTSH</t>
        </is>
      </c>
      <c r="B30" s="6" t="inlineStr">
        <is>
          <t>Cognizant Technology Solutions Corporation Class A Common Stock</t>
        </is>
      </c>
      <c r="C30" s="22" t="n">
        <v>46323.67188657408</v>
      </c>
      <c r="D30" s="22" t="n">
        <v>46323.46355324074</v>
      </c>
      <c r="E30" s="17" t="n">
        <v>66.55</v>
      </c>
      <c r="F30" s="16" t="n">
        <v>15.713899323</v>
      </c>
      <c r="G30" s="17">
        <f>E30*F30</f>
        <v/>
      </c>
      <c r="H30" s="22" t="n"/>
      <c r="I30" s="22" t="n"/>
      <c r="J30" s="17" t="n"/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n"/>
      <c r="P30" s="6" t="inlineStr">
        <is>
          <t>Open</t>
        </is>
      </c>
    </row>
    <row r="31">
      <c r="A31" s="6" t="inlineStr">
        <is>
          <t>EQNR</t>
        </is>
      </c>
      <c r="B31" s="6" t="inlineStr">
        <is>
          <t>Equinor ASA American Depositary Shares (Each Representing One Ordinary Share, nominal value NOK 2.50 per share)</t>
        </is>
      </c>
      <c r="C31" s="22" t="n">
        <v>46323.67188657408</v>
      </c>
      <c r="D31" s="22" t="n">
        <v>46323.46355324074</v>
      </c>
      <c r="E31" s="17" t="n">
        <v>47.68</v>
      </c>
      <c r="F31" s="16" t="n">
        <v>21.932885906</v>
      </c>
      <c r="G31" s="17">
        <f>E31*F31</f>
        <v/>
      </c>
      <c r="H31" s="22" t="n"/>
      <c r="I31" s="22" t="n"/>
      <c r="J31" s="17" t="n"/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n"/>
      <c r="P31" s="6" t="inlineStr">
        <is>
          <t>Open</t>
        </is>
      </c>
    </row>
    <row r="32">
      <c r="A32" s="6" t="inlineStr">
        <is>
          <t>MPC</t>
        </is>
      </c>
      <c r="B32" s="6" t="inlineStr">
        <is>
          <t>MARATHON PETROLEUM CORPORATION</t>
        </is>
      </c>
      <c r="C32" s="22" t="n">
        <v>46323.67767361111</v>
      </c>
      <c r="D32" s="22" t="n">
        <v>46323.46934027778</v>
      </c>
      <c r="E32" s="17" t="n">
        <v>437.364</v>
      </c>
      <c r="F32" s="16" t="n">
        <v>0.19946772</v>
      </c>
      <c r="G32" s="17">
        <f>E32*F32</f>
        <v/>
      </c>
      <c r="H32" s="22" t="n"/>
      <c r="I32" s="22" t="n"/>
      <c r="J32" s="17" t="n"/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n"/>
      <c r="P32" s="6" t="inlineStr">
        <is>
          <t>Open</t>
        </is>
      </c>
    </row>
    <row r="33">
      <c r="A33" s="6" t="inlineStr">
        <is>
          <t>EQT</t>
        </is>
      </c>
      <c r="B33" s="6" t="inlineStr">
        <is>
          <t>EQT CORP</t>
        </is>
      </c>
      <c r="C33" s="22" t="n">
        <v>46323.67768518518</v>
      </c>
      <c r="D33" s="22" t="n">
        <v>46323.46935185185</v>
      </c>
      <c r="E33" s="17" t="n">
        <v>55.842</v>
      </c>
      <c r="F33" s="16" t="n">
        <v>1.562264961</v>
      </c>
      <c r="G33" s="17">
        <f>E33*F33</f>
        <v/>
      </c>
      <c r="H33" s="22" t="n"/>
      <c r="I33" s="22" t="n"/>
      <c r="J33" s="17" t="n"/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n"/>
      <c r="P33" s="6" t="inlineStr">
        <is>
          <t>Open</t>
        </is>
      </c>
    </row>
    <row r="34">
      <c r="A34" s="6" t="inlineStr">
        <is>
          <t>PSX</t>
        </is>
      </c>
      <c r="B34" s="6" t="inlineStr">
        <is>
          <t>PHILLIPS 66</t>
        </is>
      </c>
      <c r="C34" s="22" t="n">
        <v>46323.67768518518</v>
      </c>
      <c r="D34" s="22" t="n">
        <v>46323.46935185185</v>
      </c>
      <c r="E34" s="17" t="n">
        <v>269.96</v>
      </c>
      <c r="F34" s="16" t="n">
        <v>0.323158986</v>
      </c>
      <c r="G34" s="17">
        <f>E34*F34</f>
        <v/>
      </c>
      <c r="H34" s="22" t="n"/>
      <c r="I34" s="22" t="n"/>
      <c r="J34" s="17" t="n"/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n"/>
      <c r="P34" s="6" t="inlineStr">
        <is>
          <t>Open</t>
        </is>
      </c>
    </row>
  </sheetData>
  <conditionalFormatting sqref="L2:M34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2026-10-28T15:16:05Z</dcterms:created>
  <dcterms:modified xsi:type="dcterms:W3CDTF">2026-10-28T15:16:05Z</dcterms:modified>
</cp:coreProperties>
</file>