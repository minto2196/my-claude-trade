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12" headerRowCount="1">
  <autoFilter ref="A1:BA112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2" headerRowCount="1">
  <autoFilter ref="A1:P72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46324.7925462963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46324.58421296296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COUNTIF(Orders!$E$2:$E$112,"BUY")+COUNTIF(Orders!$E$2:$E$112,"SELL")</f>
        <v/>
      </c>
    </row>
    <row r="9">
      <c r="A9" s="6" t="inlineStr">
        <is>
          <t>Buy orders</t>
        </is>
      </c>
      <c r="B9" s="7">
        <f>COUNTIF(Orders!$E$2:$E$112,"BUY")</f>
        <v/>
      </c>
    </row>
    <row r="10">
      <c r="A10" s="6" t="inlineStr">
        <is>
          <t>Sell orders</t>
        </is>
      </c>
      <c r="B10" s="7">
        <f>COUNTIF(Orders!$E$2:$E$112,"SELL")</f>
        <v/>
      </c>
    </row>
    <row r="11">
      <c r="A11" s="6" t="inlineStr">
        <is>
          <t>Filled orders</t>
        </is>
      </c>
      <c r="B11" s="7">
        <f>COUNTIF(Orders!$I$2:$I$112,"filled")</f>
        <v/>
      </c>
    </row>
    <row r="12">
      <c r="A12" s="6" t="inlineStr">
        <is>
          <t>Total bought $</t>
        </is>
      </c>
      <c r="B12" s="8">
        <f>SUMIFS(Orders!$L$2:$L$112,Orders!$E$2:$E$112,"BUY")</f>
        <v/>
      </c>
    </row>
    <row r="13">
      <c r="A13" s="6" t="inlineStr">
        <is>
          <t>Total sold $</t>
        </is>
      </c>
      <c r="B13" s="8">
        <f>SUMIFS(Orders!$L$2:$L$112,Orders!$E$2:$E$112,"SELL")</f>
        <v/>
      </c>
    </row>
    <row r="14">
      <c r="A14" s="6" t="inlineStr">
        <is>
          <t>Closed round trips</t>
        </is>
      </c>
      <c r="B14" s="7">
        <f>COUNTIF('Round trips'!$P$2:$P$72,"Closed")</f>
        <v/>
      </c>
    </row>
    <row r="15">
      <c r="A15" s="6" t="inlineStr">
        <is>
          <t>Open lots</t>
        </is>
      </c>
      <c r="B15" s="7">
        <f>COUNTIF('Round trips'!$P$2:$P$72,"Open")</f>
        <v/>
      </c>
    </row>
    <row r="16">
      <c r="A16" s="6" t="inlineStr">
        <is>
          <t>Realized P/L $</t>
        </is>
      </c>
      <c r="B16" s="9">
        <f>SUM('Round trips'!$L$2:$L$72)</f>
        <v/>
      </c>
    </row>
    <row r="17">
      <c r="A17" s="6" t="inlineStr">
        <is>
          <t>Winning round trips</t>
        </is>
      </c>
      <c r="B17" s="7">
        <f>COUNTIFS('Round trips'!$P$2:$P$72,"Closed",'Round trips'!$L$2:$L$72,"&gt;0")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12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1.325708929</v>
      </c>
      <c r="G67" s="17">
        <f>E67*F67</f>
        <v/>
      </c>
      <c r="H67" s="22" t="n"/>
      <c r="I67" s="22" t="n"/>
      <c r="J67" s="17" t="n"/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n"/>
      <c r="P67" s="6" t="inlineStr">
        <is>
          <t>Open</t>
        </is>
      </c>
    </row>
    <row r="68">
      <c r="A68" s="6" t="inlineStr">
        <is>
          <t>EQNR</t>
        </is>
      </c>
      <c r="B68" s="6" t="inlineStr">
        <is>
          <t>Equinor ASA American Depositary Shares (Each Representing One Ordinary Share, nominal value NOK 2.50 per share)</t>
        </is>
      </c>
      <c r="C68" s="22" t="n">
        <v>46324.67839120371</v>
      </c>
      <c r="D68" s="22" t="n">
        <v>46324.47005787037</v>
      </c>
      <c r="E68" s="17" t="n">
        <v>47.09</v>
      </c>
      <c r="F68" s="16" t="n">
        <v>14.117434699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SO</t>
        </is>
      </c>
      <c r="B69" s="6" t="inlineStr">
        <is>
          <t>The Southern Company</t>
        </is>
      </c>
      <c r="C69" s="22" t="n">
        <v>46324.68998842593</v>
      </c>
      <c r="D69" s="22" t="n">
        <v>46324.48165509259</v>
      </c>
      <c r="E69" s="17" t="n">
        <v>92.97</v>
      </c>
      <c r="F69" s="16" t="n">
        <v>14.744111003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  <row r="70">
      <c r="A70" s="6" t="inlineStr">
        <is>
          <t>EQT</t>
        </is>
      </c>
      <c r="B70" s="6" t="inlineStr">
        <is>
          <t>EQT CORP</t>
        </is>
      </c>
      <c r="C70" s="22" t="n">
        <v>46324.69001157407</v>
      </c>
      <c r="D70" s="22" t="n">
        <v>46324.48167824074</v>
      </c>
      <c r="E70" s="17" t="n">
        <v>54.94</v>
      </c>
      <c r="F70" s="16" t="n">
        <v>24.950127411</v>
      </c>
      <c r="G70" s="17">
        <f>E70*F70</f>
        <v/>
      </c>
      <c r="H70" s="22" t="n">
        <v>46324.75886574074</v>
      </c>
      <c r="I70" s="22" t="n">
        <v>46324.5505324074</v>
      </c>
      <c r="J70" s="17" t="n">
        <v>54.75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2 or fewer green</t>
        </is>
      </c>
      <c r="P70" s="6" t="inlineStr">
        <is>
          <t>Closed</t>
        </is>
      </c>
    </row>
    <row r="71">
      <c r="A71" s="6" t="inlineStr">
        <is>
          <t>EBAY</t>
        </is>
      </c>
      <c r="B71" s="6" t="inlineStr">
        <is>
          <t>eBay Inc. Common Stock</t>
        </is>
      </c>
      <c r="C71" s="22" t="n">
        <v>46324.7149074074</v>
      </c>
      <c r="D71" s="22" t="n">
        <v>46324.50657407408</v>
      </c>
      <c r="E71" s="17" t="n">
        <v>121.4</v>
      </c>
      <c r="F71" s="16" t="n">
        <v>9.638632618999999</v>
      </c>
      <c r="G71" s="17">
        <f>E71*F71</f>
        <v/>
      </c>
      <c r="H71" s="22" t="n"/>
      <c r="I71" s="22" t="n"/>
      <c r="J71" s="17" t="n"/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n"/>
      <c r="P71" s="6" t="inlineStr">
        <is>
          <t>Open</t>
        </is>
      </c>
    </row>
    <row r="72">
      <c r="A72" s="6" t="inlineStr">
        <is>
          <t>REGN</t>
        </is>
      </c>
      <c r="B72" s="6" t="inlineStr">
        <is>
          <t>Regeneron Pharmaceuticals, Inc. Common Stock</t>
        </is>
      </c>
      <c r="C72" s="22" t="n">
        <v>46324.77543981482</v>
      </c>
      <c r="D72" s="22" t="n">
        <v>46324.56710648148</v>
      </c>
      <c r="E72" s="17" t="n">
        <v>812.87</v>
      </c>
      <c r="F72" s="16" t="n">
        <v>1.562144008</v>
      </c>
      <c r="G72" s="17">
        <f>E72*F72</f>
        <v/>
      </c>
      <c r="H72" s="22" t="n"/>
      <c r="I72" s="22" t="n"/>
      <c r="J72" s="17" t="n"/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n"/>
      <c r="P72" s="6" t="inlineStr">
        <is>
          <t>Open</t>
        </is>
      </c>
    </row>
  </sheetData>
  <conditionalFormatting sqref="L2:M72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2026-10-29T18:01:16Z</dcterms:created>
  <dcterms:modified xsi:type="dcterms:W3CDTF">2026-10-29T18:01:16Z</dcterms:modified>
</cp:coreProperties>
</file>