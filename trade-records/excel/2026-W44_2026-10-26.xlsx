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1" headerRowCount="1">
  <autoFilter ref="A1:BA171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3" headerRowCount="1">
  <autoFilter ref="A1:P103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46325.62583333333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46325.4175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COUNTIF(Orders!$E$2:$E$171,"BUY")+COUNTIF(Orders!$E$2:$E$171,"SELL")</f>
        <v/>
      </c>
    </row>
    <row r="9">
      <c r="A9" s="6" t="inlineStr">
        <is>
          <t>Buy orders</t>
        </is>
      </c>
      <c r="B9" s="7">
        <f>COUNTIF(Orders!$E$2:$E$171,"BUY")</f>
        <v/>
      </c>
    </row>
    <row r="10">
      <c r="A10" s="6" t="inlineStr">
        <is>
          <t>Sell orders</t>
        </is>
      </c>
      <c r="B10" s="7">
        <f>COUNTIF(Orders!$E$2:$E$171,"SELL")</f>
        <v/>
      </c>
    </row>
    <row r="11">
      <c r="A11" s="6" t="inlineStr">
        <is>
          <t>Filled orders</t>
        </is>
      </c>
      <c r="B11" s="7">
        <f>COUNTIF(Orders!$I$2:$I$171,"filled")</f>
        <v/>
      </c>
    </row>
    <row r="12">
      <c r="A12" s="6" t="inlineStr">
        <is>
          <t>Total bought $</t>
        </is>
      </c>
      <c r="B12" s="8">
        <f>SUMIFS(Orders!$L$2:$L$171,Orders!$E$2:$E$171,"BUY")</f>
        <v/>
      </c>
    </row>
    <row r="13">
      <c r="A13" s="6" t="inlineStr">
        <is>
          <t>Total sold $</t>
        </is>
      </c>
      <c r="B13" s="8">
        <f>SUMIFS(Orders!$L$2:$L$171,Orders!$E$2:$E$171,"SELL")</f>
        <v/>
      </c>
    </row>
    <row r="14">
      <c r="A14" s="6" t="inlineStr">
        <is>
          <t>Closed round trips</t>
        </is>
      </c>
      <c r="B14" s="7">
        <f>COUNTIF('Round trips'!$P$2:$P$103,"Closed")</f>
        <v/>
      </c>
    </row>
    <row r="15">
      <c r="A15" s="6" t="inlineStr">
        <is>
          <t>Open lots</t>
        </is>
      </c>
      <c r="B15" s="7">
        <f>COUNTIF('Round trips'!$P$2:$P$103,"Open")</f>
        <v/>
      </c>
    </row>
    <row r="16">
      <c r="A16" s="6" t="inlineStr">
        <is>
          <t>Realized P/L $</t>
        </is>
      </c>
      <c r="B16" s="9">
        <f>SUM('Round trips'!$L$2:$L$103)</f>
        <v/>
      </c>
    </row>
    <row r="17">
      <c r="A17" s="6" t="inlineStr">
        <is>
          <t>Winning round trips</t>
        </is>
      </c>
      <c r="B17" s="7">
        <f>COUNTIFS('Round trips'!$P$2:$P$103,"Closed",'Round trips'!$L$2:$L$103,"&gt;0")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1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3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/>
      <c r="I103" s="22" t="n"/>
      <c r="J103" s="17" t="n"/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n"/>
      <c r="P103" s="6" t="inlineStr">
        <is>
          <t>Open</t>
        </is>
      </c>
    </row>
  </sheetData>
  <conditionalFormatting sqref="L2:M103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2026-10-30T14:01:12Z</dcterms:created>
  <dcterms:modified xsi:type="dcterms:W3CDTF">2026-10-30T14:01:13Z</dcterms:modified>
</cp:coreProperties>
</file>