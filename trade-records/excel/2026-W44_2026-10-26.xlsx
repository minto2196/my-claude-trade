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7" headerRowCount="1">
  <autoFilter ref="A1:BA17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6" headerRowCount="1">
  <autoFilter ref="A1:P106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46325.6465625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46325.43822916667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COUNTIF(Orders!$E$2:$E$177,"BUY")+COUNTIF(Orders!$E$2:$E$177,"SELL")</f>
        <v/>
      </c>
    </row>
    <row r="9">
      <c r="A9" s="6" t="inlineStr">
        <is>
          <t>Buy orders</t>
        </is>
      </c>
      <c r="B9" s="7">
        <f>COUNTIF(Orders!$E$2:$E$177,"BUY")</f>
        <v/>
      </c>
    </row>
    <row r="10">
      <c r="A10" s="6" t="inlineStr">
        <is>
          <t>Sell orders</t>
        </is>
      </c>
      <c r="B10" s="7">
        <f>COUNTIF(Orders!$E$2:$E$177,"SELL")</f>
        <v/>
      </c>
    </row>
    <row r="11">
      <c r="A11" s="6" t="inlineStr">
        <is>
          <t>Filled orders</t>
        </is>
      </c>
      <c r="B11" s="7">
        <f>COUNTIF(Orders!$I$2:$I$177,"filled")</f>
        <v/>
      </c>
    </row>
    <row r="12">
      <c r="A12" s="6" t="inlineStr">
        <is>
          <t>Total bought $</t>
        </is>
      </c>
      <c r="B12" s="8">
        <f>SUMIFS(Orders!$L$2:$L$177,Orders!$E$2:$E$177,"BUY")</f>
        <v/>
      </c>
    </row>
    <row r="13">
      <c r="A13" s="6" t="inlineStr">
        <is>
          <t>Total sold $</t>
        </is>
      </c>
      <c r="B13" s="8">
        <f>SUMIFS(Orders!$L$2:$L$177,Orders!$E$2:$E$177,"SELL")</f>
        <v/>
      </c>
    </row>
    <row r="14">
      <c r="A14" s="6" t="inlineStr">
        <is>
          <t>Closed round trips</t>
        </is>
      </c>
      <c r="B14" s="7">
        <f>COUNTIF('Round trips'!$P$2:$P$106,"Closed")</f>
        <v/>
      </c>
    </row>
    <row r="15">
      <c r="A15" s="6" t="inlineStr">
        <is>
          <t>Open lots</t>
        </is>
      </c>
      <c r="B15" s="7">
        <f>COUNTIF('Round trips'!$P$2:$P$106,"Open")</f>
        <v/>
      </c>
    </row>
    <row r="16">
      <c r="A16" s="6" t="inlineStr">
        <is>
          <t>Realized P/L $</t>
        </is>
      </c>
      <c r="B16" s="9">
        <f>SUM('Round trips'!$L$2:$L$106)</f>
        <v/>
      </c>
    </row>
    <row r="17">
      <c r="A17" s="6" t="inlineStr">
        <is>
          <t>Winning round trips</t>
        </is>
      </c>
      <c r="B17" s="7">
        <f>COUNTIFS('Round trips'!$P$2:$P$106,"Closed",'Round trips'!$L$2:$L$106,"&gt;0")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  <row r="172">
      <c r="A172" s="12" t="n">
        <v>171</v>
      </c>
      <c r="B172" s="13" t="n">
        <v>46325.62979166667</v>
      </c>
      <c r="C172" s="13" t="n">
        <v>46325.42145833333</v>
      </c>
      <c r="D172" s="13" t="n">
        <v>46325.588125</v>
      </c>
      <c r="E172" s="14" t="inlineStr">
        <is>
          <t>BUY</t>
        </is>
      </c>
      <c r="F172" s="6" t="inlineStr">
        <is>
          <t>DT</t>
        </is>
      </c>
      <c r="G172" s="15" t="inlineStr">
        <is>
          <t>Dynatrace, Inc.</t>
        </is>
      </c>
      <c r="H172" s="6" t="inlineStr">
        <is>
          <t>NYSE</t>
        </is>
      </c>
      <c r="I172" s="6" t="inlineStr">
        <is>
          <t>filled</t>
        </is>
      </c>
      <c r="J172" s="16" t="n">
        <v>27.311201906</v>
      </c>
      <c r="K172" s="17" t="n">
        <v>58.74</v>
      </c>
      <c r="L172" s="17">
        <f>IF(AND(ISNUMBER(J172),ISNUMBER(K172)),J172*K172,"")</f>
        <v/>
      </c>
      <c r="M172" s="17" t="n">
        <v>1604.27</v>
      </c>
      <c r="N172" s="16" t="n"/>
      <c r="O172" s="6" t="inlineStr">
        <is>
          <t>4+/5 green</t>
        </is>
      </c>
      <c r="P172" s="15" t="inlineStr">
        <is>
          <t>5 of 5 green, time machine green, rank #1, 8.33% of the $19,258.95 free cash split 12 ways</t>
        </is>
      </c>
      <c r="Q172" s="12" t="n">
        <v>5</v>
      </c>
      <c r="R172" s="6" t="inlineStr">
        <is>
          <t>ok</t>
        </is>
      </c>
      <c r="S172" s="18" t="n">
        <v>0.623</v>
      </c>
      <c r="T172" s="12" t="n">
        <v>53</v>
      </c>
      <c r="U172" s="19" t="n">
        <v>0.0115</v>
      </c>
      <c r="V172" s="19" t="n">
        <v>0.2893</v>
      </c>
      <c r="W172" s="12" t="n">
        <v>1</v>
      </c>
      <c r="X172" s="6" t="inlineStr">
        <is>
          <t>ok</t>
        </is>
      </c>
      <c r="Y172" s="19" t="n">
        <v>0.0008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59.837</v>
      </c>
      <c r="AF172" s="17" t="n">
        <v>56.957</v>
      </c>
      <c r="AG172" s="17" t="n">
        <v>62.7169</v>
      </c>
      <c r="AH172" s="20" t="n">
        <v>46332</v>
      </c>
      <c r="AI172" s="18" t="n">
        <v>0.53</v>
      </c>
      <c r="AJ172" s="6" t="inlineStr">
        <is>
          <t>ok</t>
        </is>
      </c>
      <c r="AK172" s="12" t="n">
        <v>2</v>
      </c>
      <c r="AL172" s="15" t="inlineStr">
        <is>
          <t>Cantor Fitzgerald Maintains Neutral on Dynatrace, Raises Price Target to $65</t>
        </is>
      </c>
      <c r="AM172" s="17" t="n">
        <v>58.64</v>
      </c>
      <c r="AN172" s="19" t="n">
        <v>-0.0375</v>
      </c>
      <c r="AO172" s="17" t="n">
        <v>98992.64</v>
      </c>
      <c r="AP172" s="17" t="n">
        <v>19258.95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6f7f923d-4a6d-435f-8adf-d0b1a958b583</t>
        </is>
      </c>
      <c r="AW172" s="6" t="inlineStr">
        <is>
          <t>tdagent-buy-DT-1793369214139</t>
        </is>
      </c>
      <c r="AX172" s="13" t="n">
        <v>46325.588125</v>
      </c>
      <c r="AY172" s="13" t="n">
        <v>46325.588125</v>
      </c>
      <c r="AZ172" s="13" t="n">
        <v>46325.58769675926</v>
      </c>
      <c r="BA172" s="6" t="n"/>
    </row>
    <row r="173">
      <c r="A173" s="12" t="n">
        <v>172</v>
      </c>
      <c r="B173" s="13" t="n">
        <v>46325.63380787037</v>
      </c>
      <c r="C173" s="13" t="n">
        <v>46325.42547453703</v>
      </c>
      <c r="D173" s="13" t="n">
        <v>46325.59214120371</v>
      </c>
      <c r="E173" s="21" t="inlineStr">
        <is>
          <t>SELL</t>
        </is>
      </c>
      <c r="F173" s="6" t="inlineStr">
        <is>
          <t>DT</t>
        </is>
      </c>
      <c r="G173" s="15" t="inlineStr">
        <is>
          <t>DT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58.09293</v>
      </c>
      <c r="L173" s="17">
        <f>IF(AND(ISNUMBER(J173),ISNUMBER(K173)),J173*K173,"")</f>
        <v/>
      </c>
      <c r="M173" s="17" t="n"/>
      <c r="N173" s="16" t="n">
        <v>27.311201906</v>
      </c>
      <c r="O173" s="6" t="inlineStr">
        <is>
          <t>bad day</t>
        </is>
      </c>
      <c r="P173" s="15" t="inlineStr">
        <is>
          <t>Bad day: down 4.7% today and only 4 of 5 green</t>
        </is>
      </c>
      <c r="Q173" s="12" t="n">
        <v>4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/>
      <c r="X173" s="6" t="inlineStr">
        <is>
          <t>watch</t>
        </is>
      </c>
      <c r="Y173" s="19" t="n">
        <v>0.009899999999999999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59.3861</v>
      </c>
      <c r="AF173" s="17" t="n">
        <v>56.4959</v>
      </c>
      <c r="AG173" s="17" t="n">
        <v>62.2763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58.23</v>
      </c>
      <c r="AN173" s="19" t="n">
        <v>-0.0449</v>
      </c>
      <c r="AO173" s="17" t="n">
        <v>98829.39</v>
      </c>
      <c r="AP173" s="17" t="n">
        <v>17654.69</v>
      </c>
      <c r="AQ173" s="19" t="n">
        <v>0.0833</v>
      </c>
      <c r="AR173" s="16" t="n">
        <v>27.311201906</v>
      </c>
      <c r="AS173" s="17" t="n">
        <v>58.74</v>
      </c>
      <c r="AT173" s="19" t="n">
        <v>-0.0104</v>
      </c>
      <c r="AU173" s="6" t="inlineStr">
        <is>
          <t>paper</t>
        </is>
      </c>
      <c r="AV173" s="6" t="inlineStr">
        <is>
          <t>3aba86b3-800e-4454-825b-262acadd79a0</t>
        </is>
      </c>
      <c r="AW173" s="6" t="inlineStr">
        <is>
          <t>tdagent-sell-DT-1793369558035</t>
        </is>
      </c>
      <c r="AX173" s="13" t="n">
        <v>46325.59210648148</v>
      </c>
      <c r="AY173" s="13" t="n">
        <v>46325.59214120371</v>
      </c>
      <c r="AZ173" s="13" t="n">
        <v>46325.59181712963</v>
      </c>
      <c r="BA173" s="6" t="n"/>
    </row>
    <row r="174">
      <c r="A174" s="12" t="n">
        <v>173</v>
      </c>
      <c r="B174" s="13" t="n">
        <v>46325.63377314815</v>
      </c>
      <c r="C174" s="13" t="n">
        <v>46325.42543981481</v>
      </c>
      <c r="D174" s="13" t="n">
        <v>46325.59210648148</v>
      </c>
      <c r="E174" s="21" t="inlineStr">
        <is>
          <t>SELL</t>
        </is>
      </c>
      <c r="F174" s="6" t="inlineStr">
        <is>
          <t>TENB</t>
        </is>
      </c>
      <c r="G174" s="15" t="inlineStr">
        <is>
          <t>TENB</t>
        </is>
      </c>
      <c r="H174" s="6" t="inlineStr">
        <is>
          <t>NASDAQ</t>
        </is>
      </c>
      <c r="I174" s="6" t="inlineStr">
        <is>
          <t>filled</t>
        </is>
      </c>
      <c r="J174" s="16" t="n">
        <v>34.46297755</v>
      </c>
      <c r="K174" s="17" t="n">
        <v>49.54</v>
      </c>
      <c r="L174" s="17">
        <f>IF(AND(ISNUMBER(J174),ISNUMBER(K174)),J174*K174,"")</f>
        <v/>
      </c>
      <c r="M174" s="17" t="n"/>
      <c r="N174" s="16" t="n">
        <v>34.46297755</v>
      </c>
      <c r="O174" s="6" t="inlineStr">
        <is>
          <t>bad day</t>
        </is>
      </c>
      <c r="P174" s="15" t="inlineStr">
        <is>
          <t>Bad day: down 4.0% today and only 4 of 5 green</t>
        </is>
      </c>
      <c r="Q174" s="12" t="n">
        <v>4</v>
      </c>
      <c r="R174" s="6" t="inlineStr">
        <is>
          <t>ok</t>
        </is>
      </c>
      <c r="S174" s="18" t="n">
        <v>0.625</v>
      </c>
      <c r="T174" s="12" t="n">
        <v>32</v>
      </c>
      <c r="U174" s="19" t="n">
        <v>0.0703</v>
      </c>
      <c r="V174" s="19" t="n">
        <v>0.2893</v>
      </c>
      <c r="W174" s="12" t="n"/>
      <c r="X174" s="6" t="inlineStr">
        <is>
          <t>ok</t>
        </is>
      </c>
      <c r="Y174" s="19" t="n">
        <v>0.0012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51.9228</v>
      </c>
      <c r="AF174" s="17" t="n">
        <v>46.7659</v>
      </c>
      <c r="AG174" s="17" t="n">
        <v>57.0797</v>
      </c>
      <c r="AH174" s="20" t="n">
        <v>46332</v>
      </c>
      <c r="AI174" s="18" t="n">
        <v>0.5600000000000001</v>
      </c>
      <c r="AJ174" s="6" t="inlineStr">
        <is>
          <t>watch</t>
        </is>
      </c>
      <c r="AK174" s="12" t="n">
        <v>10</v>
      </c>
      <c r="AL174" s="15" t="inlineStr">
        <is>
          <t>Canaccord Genuity Maintains Buy on Tenable Holdings, Raises Price Target to $54</t>
        </is>
      </c>
      <c r="AM174" s="17" t="n">
        <v>49.815</v>
      </c>
      <c r="AN174" s="19" t="n">
        <v>-0.0369</v>
      </c>
      <c r="AO174" s="17" t="n">
        <v>98829.39</v>
      </c>
      <c r="AP174" s="17" t="n">
        <v>17654.69</v>
      </c>
      <c r="AQ174" s="19" t="n">
        <v>0.0833</v>
      </c>
      <c r="AR174" s="16" t="n">
        <v>34.46297755</v>
      </c>
      <c r="AS174" s="17" t="n">
        <v>50.78</v>
      </c>
      <c r="AT174" s="19" t="n">
        <v>-0.0209</v>
      </c>
      <c r="AU174" s="6" t="inlineStr">
        <is>
          <t>paper</t>
        </is>
      </c>
      <c r="AV174" s="6" t="inlineStr">
        <is>
          <t>984f46f9-0553-4a10-aeff-3f4ecae19aab</t>
        </is>
      </c>
      <c r="AW174" s="6" t="inlineStr">
        <is>
          <t>tdagent-sell-TENB-1793369558105</t>
        </is>
      </c>
      <c r="AX174" s="13" t="n">
        <v>46325.59210648148</v>
      </c>
      <c r="AY174" s="13" t="n">
        <v>46325.59210648148</v>
      </c>
      <c r="AZ174" s="13" t="n">
        <v>46325.59181712963</v>
      </c>
      <c r="BA174" s="6" t="n"/>
    </row>
    <row r="175">
      <c r="A175" s="12" t="n">
        <v>174</v>
      </c>
      <c r="B175" s="13" t="n">
        <v>46325.63378472222</v>
      </c>
      <c r="C175" s="13" t="n">
        <v>46325.42545138889</v>
      </c>
      <c r="D175" s="13" t="n">
        <v>46325.59211805555</v>
      </c>
      <c r="E175" s="21" t="inlineStr">
        <is>
          <t>SELL</t>
        </is>
      </c>
      <c r="F175" s="6" t="inlineStr">
        <is>
          <t>ZS</t>
        </is>
      </c>
      <c r="G175" s="15" t="inlineStr">
        <is>
          <t>ZS</t>
        </is>
      </c>
      <c r="H175" s="6" t="inlineStr">
        <is>
          <t>NASDAQ</t>
        </is>
      </c>
      <c r="I175" s="6" t="inlineStr">
        <is>
          <t>filled</t>
        </is>
      </c>
      <c r="J175" s="16" t="n">
        <v>2.823788187</v>
      </c>
      <c r="K175" s="17" t="n">
        <v>238.21</v>
      </c>
      <c r="L175" s="17">
        <f>IF(AND(ISNUMBER(J175),ISNUMBER(K175)),J175*K175,"")</f>
        <v/>
      </c>
      <c r="M175" s="17" t="n"/>
      <c r="N175" s="16" t="n">
        <v>2.823788187</v>
      </c>
      <c r="O175" s="6" t="inlineStr">
        <is>
          <t>bad day</t>
        </is>
      </c>
      <c r="P175" s="15" t="inlineStr">
        <is>
          <t>Bad day: down 3.7% today and only 4 of 5 green</t>
        </is>
      </c>
      <c r="Q175" s="12" t="n">
        <v>4</v>
      </c>
      <c r="R175" s="6" t="inlineStr">
        <is>
          <t>ok</t>
        </is>
      </c>
      <c r="S175" s="18" t="n">
        <v>0.5580000000000001</v>
      </c>
      <c r="T175" s="12" t="n">
        <v>43</v>
      </c>
      <c r="U175" s="19" t="n">
        <v>0.0164</v>
      </c>
      <c r="V175" s="19" t="n">
        <v>0.2893</v>
      </c>
      <c r="W175" s="12" t="n"/>
      <c r="X175" s="6" t="inlineStr">
        <is>
          <t>ok</t>
        </is>
      </c>
      <c r="Y175" s="19" t="n">
        <v>0.0009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248.2477</v>
      </c>
      <c r="AF175" s="17" t="n">
        <v>225.5784</v>
      </c>
      <c r="AG175" s="17" t="n">
        <v>270.9171</v>
      </c>
      <c r="AH175" s="20" t="n">
        <v>46332</v>
      </c>
      <c r="AI175" s="18" t="n">
        <v>0.55</v>
      </c>
      <c r="AJ175" s="6" t="inlineStr">
        <is>
          <t>alert</t>
        </is>
      </c>
      <c r="AK175" s="12" t="n">
        <v>3</v>
      </c>
      <c r="AL175" s="15" t="inlineStr">
        <is>
          <t>ServiceNow Posts Downbeat Q3 Earnings, Joins Sprouts Farmers Market, Alphabet And Other Big Stocks Moving Lower In Thursday’s Pre-Market Session</t>
        </is>
      </c>
      <c r="AM175" s="17" t="n">
        <v>239.18</v>
      </c>
      <c r="AN175" s="19" t="n">
        <v>-0.0345</v>
      </c>
      <c r="AO175" s="17" t="n">
        <v>98829.39</v>
      </c>
      <c r="AP175" s="17" t="n">
        <v>17654.69</v>
      </c>
      <c r="AQ175" s="19" t="n">
        <v>0.0833</v>
      </c>
      <c r="AR175" s="16" t="n">
        <v>2.823788187</v>
      </c>
      <c r="AS175" s="17" t="n">
        <v>245.5</v>
      </c>
      <c r="AT175" s="19" t="n">
        <v>-0.0284</v>
      </c>
      <c r="AU175" s="6" t="inlineStr">
        <is>
          <t>paper</t>
        </is>
      </c>
      <c r="AV175" s="6" t="inlineStr">
        <is>
          <t>d4bb7f01-efee-40c4-8955-ac340b823f15</t>
        </is>
      </c>
      <c r="AW175" s="6" t="inlineStr">
        <is>
          <t>tdagent-sell-ZS-1793369558209</t>
        </is>
      </c>
      <c r="AX175" s="13" t="n">
        <v>46325.59210648148</v>
      </c>
      <c r="AY175" s="13" t="n">
        <v>46325.59211805555</v>
      </c>
      <c r="AZ175" s="13" t="n">
        <v>46325.59181712963</v>
      </c>
      <c r="BA175" s="6" t="n"/>
    </row>
    <row r="176">
      <c r="A176" s="12" t="n">
        <v>175</v>
      </c>
      <c r="B176" s="13" t="n">
        <v>46325.63377314815</v>
      </c>
      <c r="C176" s="13" t="n">
        <v>46325.42543981481</v>
      </c>
      <c r="D176" s="13" t="n">
        <v>46325.59210648148</v>
      </c>
      <c r="E176" s="14" t="inlineStr">
        <is>
          <t>BUY</t>
        </is>
      </c>
      <c r="F176" s="6" t="inlineStr">
        <is>
          <t>MA</t>
        </is>
      </c>
      <c r="G176" s="15" t="inlineStr">
        <is>
          <t>Mastercard Incorporated</t>
        </is>
      </c>
      <c r="H176" s="6" t="inlineStr">
        <is>
          <t>NYSE</t>
        </is>
      </c>
      <c r="I176" s="6" t="inlineStr">
        <is>
          <t>filled</t>
        </is>
      </c>
      <c r="J176" s="16" t="n">
        <v>2.314697642</v>
      </c>
      <c r="K176" s="17" t="n">
        <v>635.34</v>
      </c>
      <c r="L176" s="17">
        <f>IF(AND(ISNUMBER(J176),ISNUMBER(K176)),J176*K176,"")</f>
        <v/>
      </c>
      <c r="M176" s="17" t="n">
        <v>1470.63</v>
      </c>
      <c r="N176" s="16" t="n"/>
      <c r="O176" s="6" t="inlineStr">
        <is>
          <t>4+/5 green</t>
        </is>
      </c>
      <c r="P176" s="15" t="inlineStr">
        <is>
          <t>4 of 5 green, time machine green, rank #3, 8.33% of the $17,654.69 free cash split 12 ways</t>
        </is>
      </c>
      <c r="Q176" s="12" t="n">
        <v>4</v>
      </c>
      <c r="R176" s="6" t="inlineStr">
        <is>
          <t>ok</t>
        </is>
      </c>
      <c r="S176" s="18" t="n">
        <v>0.553</v>
      </c>
      <c r="T176" s="12" t="n">
        <v>47</v>
      </c>
      <c r="U176" s="19" t="n">
        <v>0.006500000000000001</v>
      </c>
      <c r="V176" s="19" t="n">
        <v>0.2893</v>
      </c>
      <c r="W176" s="12" t="n">
        <v>3</v>
      </c>
      <c r="X176" s="6" t="inlineStr">
        <is>
          <t>ok</t>
        </is>
      </c>
      <c r="Y176" s="19" t="n">
        <v>0.0003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642.7337</v>
      </c>
      <c r="AF176" s="17" t="n">
        <v>624.9244</v>
      </c>
      <c r="AG176" s="17" t="n">
        <v>660.543</v>
      </c>
      <c r="AH176" s="20" t="n">
        <v>46332</v>
      </c>
      <c r="AI176" s="18" t="n">
        <v>0.57</v>
      </c>
      <c r="AJ176" s="6" t="inlineStr">
        <is>
          <t>watch</t>
        </is>
      </c>
      <c r="AK176" s="12" t="n">
        <v>10</v>
      </c>
      <c r="AL176" s="15" t="inlineStr">
        <is>
          <t>Mastercard CEO Says Consumers Keep Spending Despite Economic Uncertainty</t>
        </is>
      </c>
      <c r="AM176" s="17" t="n">
        <v>635.79</v>
      </c>
      <c r="AN176" s="19" t="n">
        <v>-0.0003</v>
      </c>
      <c r="AO176" s="17" t="n">
        <v>98829.39</v>
      </c>
      <c r="AP176" s="17" t="n">
        <v>17654.69</v>
      </c>
      <c r="AQ176" s="19" t="n">
        <v>0.0833</v>
      </c>
      <c r="AR176" s="16" t="n"/>
      <c r="AS176" s="17" t="n"/>
      <c r="AT176" s="19" t="n"/>
      <c r="AU176" s="6" t="inlineStr">
        <is>
          <t>paper</t>
        </is>
      </c>
      <c r="AV176" s="6" t="inlineStr">
        <is>
          <t>4ca2815e-a09a-46bc-87fa-e5e8ec48e277</t>
        </is>
      </c>
      <c r="AW176" s="6" t="inlineStr">
        <is>
          <t>tdagent-buy-MA-1793369558286</t>
        </is>
      </c>
      <c r="AX176" s="13" t="n">
        <v>46325.59210648148</v>
      </c>
      <c r="AY176" s="13" t="n">
        <v>46325.59210648148</v>
      </c>
      <c r="AZ176" s="13" t="n">
        <v>46325.59181712963</v>
      </c>
      <c r="BA176" s="6" t="n"/>
    </row>
    <row r="177">
      <c r="A177" s="12" t="n">
        <v>176</v>
      </c>
      <c r="B177" s="13" t="n">
        <v>46325.64648148148</v>
      </c>
      <c r="C177" s="13" t="n">
        <v>46325.43814814815</v>
      </c>
      <c r="D177" s="13" t="n">
        <v>46325.60481481482</v>
      </c>
      <c r="E177" s="14" t="inlineStr">
        <is>
          <t>BUY</t>
        </is>
      </c>
      <c r="F177" s="6" t="inlineStr">
        <is>
          <t>ULTA</t>
        </is>
      </c>
      <c r="G177" s="15" t="inlineStr">
        <is>
          <t>Ulta Beauty, Inc. Common Stock</t>
        </is>
      </c>
      <c r="H177" s="6" t="inlineStr">
        <is>
          <t>NASDAQ</t>
        </is>
      </c>
      <c r="I177" s="6" t="inlineStr">
        <is>
          <t>filled</t>
        </is>
      </c>
      <c r="J177" s="16" t="n">
        <v>2.62602669</v>
      </c>
      <c r="K177" s="17" t="n">
        <v>639.1900000000001</v>
      </c>
      <c r="L177" s="17">
        <f>IF(AND(ISNUMBER(J177),ISNUMBER(K177)),J177*K177,"")</f>
        <v/>
      </c>
      <c r="M177" s="17" t="n">
        <v>1678.54</v>
      </c>
      <c r="N177" s="16" t="n"/>
      <c r="O177" s="6" t="inlineStr">
        <is>
          <t>4+/5 green</t>
        </is>
      </c>
      <c r="P177" s="15" t="inlineStr">
        <is>
          <t>5 of 5 green, time machine green, rank #1, 8.33% of the $20,150.61 free cash split 12 ways</t>
        </is>
      </c>
      <c r="Q177" s="12" t="n">
        <v>5</v>
      </c>
      <c r="R177" s="6" t="inlineStr">
        <is>
          <t>ok</t>
        </is>
      </c>
      <c r="S177" s="18" t="n">
        <v>0.696</v>
      </c>
      <c r="T177" s="12" t="n">
        <v>46</v>
      </c>
      <c r="U177" s="19" t="n">
        <v>0.0202</v>
      </c>
      <c r="V177" s="19" t="n">
        <v>0.2893</v>
      </c>
      <c r="W177" s="12" t="n">
        <v>1</v>
      </c>
      <c r="X177" s="6" t="inlineStr">
        <is>
          <t>ok</t>
        </is>
      </c>
      <c r="Y177" s="19" t="n">
        <v>0.0013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649.3541</v>
      </c>
      <c r="AF177" s="17" t="n">
        <v>618.4689</v>
      </c>
      <c r="AG177" s="17" t="n">
        <v>680.2393</v>
      </c>
      <c r="AH177" s="20" t="n">
        <v>46332</v>
      </c>
      <c r="AI177" s="18" t="n">
        <v>0.5600000000000001</v>
      </c>
      <c r="AJ177" s="6" t="inlineStr">
        <is>
          <t>ok</t>
        </is>
      </c>
      <c r="AK177" s="12" t="n">
        <v>0</v>
      </c>
      <c r="AL177" s="15" t="n"/>
      <c r="AM177" s="17" t="n">
        <v>637</v>
      </c>
      <c r="AN177" s="19" t="n">
        <v>-0.0173</v>
      </c>
      <c r="AO177" s="17" t="n">
        <v>98693.97</v>
      </c>
      <c r="AP177" s="17" t="n">
        <v>20150.61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36e3edb5-18f6-40c6-a7ff-26e9431c1d43</t>
        </is>
      </c>
      <c r="AW177" s="6" t="inlineStr">
        <is>
          <t>tdagent-buy-ULTA-1793370656122</t>
        </is>
      </c>
      <c r="AX177" s="13" t="n">
        <v>46325.60481481482</v>
      </c>
      <c r="AY177" s="13" t="n">
        <v>46325.60481481482</v>
      </c>
      <c r="AZ177" s="13" t="n">
        <v>46325.60434027778</v>
      </c>
      <c r="BA17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6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</sheetData>
  <conditionalFormatting sqref="L2:M106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2026-10-30T14:31:03Z</dcterms:created>
  <dcterms:modified xsi:type="dcterms:W3CDTF">2026-10-30T14:31:03Z</dcterms:modified>
</cp:coreProperties>
</file>