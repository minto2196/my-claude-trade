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08" headerRowCount="1">
  <autoFilter ref="A1:BA108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71" headerRowCount="1">
  <autoFilter ref="A1:P71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46324.7590162037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46324.55068287037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COUNTIF(Orders!$E$2:$E$108,"BUY")+COUNTIF(Orders!$E$2:$E$108,"SELL")</f>
        <v/>
      </c>
    </row>
    <row r="9">
      <c r="A9" s="6" t="inlineStr">
        <is>
          <t>Buy orders</t>
        </is>
      </c>
      <c r="B9" s="7">
        <f>COUNTIF(Orders!$E$2:$E$108,"BUY")</f>
        <v/>
      </c>
    </row>
    <row r="10">
      <c r="A10" s="6" t="inlineStr">
        <is>
          <t>Sell orders</t>
        </is>
      </c>
      <c r="B10" s="7">
        <f>COUNTIF(Orders!$E$2:$E$108,"SELL")</f>
        <v/>
      </c>
    </row>
    <row r="11">
      <c r="A11" s="6" t="inlineStr">
        <is>
          <t>Filled orders</t>
        </is>
      </c>
      <c r="B11" s="7">
        <f>COUNTIF(Orders!$I$2:$I$108,"filled")</f>
        <v/>
      </c>
    </row>
    <row r="12">
      <c r="A12" s="6" t="inlineStr">
        <is>
          <t>Total bought $</t>
        </is>
      </c>
      <c r="B12" s="8">
        <f>SUMIFS(Orders!$L$2:$L$108,Orders!$E$2:$E$108,"BUY")</f>
        <v/>
      </c>
    </row>
    <row r="13">
      <c r="A13" s="6" t="inlineStr">
        <is>
          <t>Total sold $</t>
        </is>
      </c>
      <c r="B13" s="8">
        <f>SUMIFS(Orders!$L$2:$L$108,Orders!$E$2:$E$108,"SELL")</f>
        <v/>
      </c>
    </row>
    <row r="14">
      <c r="A14" s="6" t="inlineStr">
        <is>
          <t>Closed round trips</t>
        </is>
      </c>
      <c r="B14" s="7">
        <f>COUNTIF('Round trips'!$P$2:$P$71,"Closed")</f>
        <v/>
      </c>
    </row>
    <row r="15">
      <c r="A15" s="6" t="inlineStr">
        <is>
          <t>Open lots</t>
        </is>
      </c>
      <c r="B15" s="7">
        <f>COUNTIF('Round trips'!$P$2:$P$71,"Open")</f>
        <v/>
      </c>
    </row>
    <row r="16">
      <c r="A16" s="6" t="inlineStr">
        <is>
          <t>Realized P/L $</t>
        </is>
      </c>
      <c r="B16" s="9">
        <f>SUM('Round trips'!$L$2:$L$71)</f>
        <v/>
      </c>
    </row>
    <row r="17">
      <c r="A17" s="6" t="inlineStr">
        <is>
          <t>Winning round trips</t>
        </is>
      </c>
      <c r="B17" s="7">
        <f>COUNTIFS('Round trips'!$P$2:$P$71,"Closed",'Round trips'!$L$2:$L$71,"&gt;0")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08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46324.75462962963</v>
      </c>
      <c r="C107" s="13" t="n">
        <v>46324.5462962963</v>
      </c>
      <c r="D107" s="13" t="n">
        <v>46324.71296296296</v>
      </c>
      <c r="E107" s="21" t="inlineStr">
        <is>
          <t>SELL</t>
        </is>
      </c>
      <c r="F107" s="6" t="inlineStr">
        <is>
          <t>ACN</t>
        </is>
      </c>
      <c r="G107" s="15" t="inlineStr">
        <is>
          <t>ACN</t>
        </is>
      </c>
      <c r="H107" s="6" t="inlineStr">
        <is>
          <t>NYSE</t>
        </is>
      </c>
      <c r="I107" s="6" t="inlineStr">
        <is>
          <t>filled</t>
        </is>
      </c>
      <c r="J107" s="16" t="n">
        <v>1.363168471</v>
      </c>
      <c r="K107" s="17" t="n">
        <v>245.55</v>
      </c>
      <c r="L107" s="17">
        <f>IF(AND(ISNUMBER(J107),ISNUMBER(K107)),J107*K107,"")</f>
        <v/>
      </c>
      <c r="M107" s="17" t="n"/>
      <c r="N107" s="16" t="n">
        <v>1.363168471</v>
      </c>
      <c r="O107" s="6" t="inlineStr">
        <is>
          <t>3 green: sell half</t>
        </is>
      </c>
      <c r="P107" s="15" t="inlineStr">
        <is>
          <t>3 of 5 green: start selling (half)</t>
        </is>
      </c>
      <c r="Q107" s="12" t="n">
        <v>3</v>
      </c>
      <c r="R107" s="6" t="inlineStr">
        <is>
          <t>ok</t>
        </is>
      </c>
      <c r="S107" s="18" t="n">
        <v>0.551</v>
      </c>
      <c r="T107" s="12" t="n">
        <v>49</v>
      </c>
      <c r="U107" s="19" t="n">
        <v>0.0072</v>
      </c>
      <c r="V107" s="19" t="n">
        <v>0.2893</v>
      </c>
      <c r="W107" s="12" t="n"/>
      <c r="X107" s="6" t="inlineStr">
        <is>
          <t>ok</t>
        </is>
      </c>
      <c r="Y107" s="19" t="n">
        <v>0.0014</v>
      </c>
      <c r="Z107" s="6" t="inlineStr">
        <is>
          <t>ok</t>
        </is>
      </c>
      <c r="AA107" s="12" t="n">
        <v>100</v>
      </c>
      <c r="AB107" s="15" t="n"/>
      <c r="AC107" s="6" t="inlineStr">
        <is>
          <t>watch</t>
        </is>
      </c>
      <c r="AD107" s="6" t="inlineStr">
        <is>
          <t>flat</t>
        </is>
      </c>
      <c r="AE107" s="17" t="n">
        <v>245.24</v>
      </c>
      <c r="AF107" s="17" t="n">
        <v>226.362</v>
      </c>
      <c r="AG107" s="17" t="n">
        <v>264.118</v>
      </c>
      <c r="AH107" s="20" t="n">
        <v>46331</v>
      </c>
      <c r="AI107" s="18" t="n">
        <v>0.5</v>
      </c>
      <c r="AJ107" s="6" t="inlineStr">
        <is>
          <t>watch</t>
        </is>
      </c>
      <c r="AK107" s="12" t="n">
        <v>6</v>
      </c>
      <c r="AL107" s="15" t="inlineStr">
        <is>
          <t>Accenture Recognized in 2026 Guidewire PartnerConnect Excellence Awards</t>
        </is>
      </c>
      <c r="AM107" s="17" t="n">
        <v>245.585</v>
      </c>
      <c r="AN107" s="19" t="n">
        <v>0.005699999999999999</v>
      </c>
      <c r="AO107" s="17" t="n">
        <v>99521.99000000001</v>
      </c>
      <c r="AP107" s="17" t="n">
        <v>12877.2</v>
      </c>
      <c r="AQ107" s="19" t="n">
        <v>0.0833</v>
      </c>
      <c r="AR107" s="16" t="n">
        <v>2.726336942</v>
      </c>
      <c r="AS107" s="17" t="n">
        <v>243.84</v>
      </c>
      <c r="AT107" s="19" t="n">
        <v>0.0072</v>
      </c>
      <c r="AU107" s="6" t="inlineStr">
        <is>
          <t>paper</t>
        </is>
      </c>
      <c r="AV107" s="6" t="inlineStr">
        <is>
          <t>54ffb774-a2a5-48dc-bed4-428649caa4b4</t>
        </is>
      </c>
      <c r="AW107" s="6" t="inlineStr">
        <is>
          <t>tdagent-sell-ACN-1793293599550</t>
        </is>
      </c>
      <c r="AX107" s="13" t="n">
        <v>46324.71295138889</v>
      </c>
      <c r="AY107" s="13" t="n">
        <v>46324.71296296296</v>
      </c>
      <c r="AZ107" s="13" t="n">
        <v>46324.71270833333</v>
      </c>
      <c r="BA107" s="6" t="n"/>
    </row>
    <row r="108">
      <c r="A108" s="12" t="n">
        <v>107</v>
      </c>
      <c r="B108" s="13" t="n">
        <v>46324.75886574074</v>
      </c>
      <c r="C108" s="13" t="n">
        <v>46324.5505324074</v>
      </c>
      <c r="D108" s="13" t="n">
        <v>46324.71719907408</v>
      </c>
      <c r="E108" s="21" t="inlineStr">
        <is>
          <t>SELL</t>
        </is>
      </c>
      <c r="F108" s="6" t="inlineStr">
        <is>
          <t>EQT</t>
        </is>
      </c>
      <c r="G108" s="15" t="inlineStr">
        <is>
          <t>EQT</t>
        </is>
      </c>
      <c r="H108" s="6" t="inlineStr">
        <is>
          <t>NYSE</t>
        </is>
      </c>
      <c r="I108" s="6" t="inlineStr">
        <is>
          <t>filled</t>
        </is>
      </c>
      <c r="J108" s="16" t="n">
        <v>24.950127411</v>
      </c>
      <c r="K108" s="17" t="n">
        <v>54.75</v>
      </c>
      <c r="L108" s="17">
        <f>IF(AND(ISNUMBER(J108),ISNUMBER(K108)),J108*K108,"")</f>
        <v/>
      </c>
      <c r="M108" s="17" t="n"/>
      <c r="N108" s="16" t="n">
        <v>24.950127411</v>
      </c>
      <c r="O108" s="6" t="inlineStr">
        <is>
          <t>2 or fewer green</t>
        </is>
      </c>
      <c r="P108" s="15" t="inlineStr">
        <is>
          <t>Only 2 of 5 green</t>
        </is>
      </c>
      <c r="Q108" s="12" t="n">
        <v>2</v>
      </c>
      <c r="R108" s="6" t="inlineStr">
        <is>
          <t>ok</t>
        </is>
      </c>
      <c r="S108" s="18" t="n">
        <v>0.552</v>
      </c>
      <c r="T108" s="12" t="n">
        <v>29</v>
      </c>
      <c r="U108" s="19" t="n">
        <v>0.0017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alert</t>
        </is>
      </c>
      <c r="AA108" s="12" t="n">
        <v>60</v>
      </c>
      <c r="AB108" s="15" t="inlineStr">
        <is>
          <t>Price gapped 5.1% at an open in the last week.; Rose 4.1% then gave back most of it within hours. Looks like pump-and-fade.</t>
        </is>
      </c>
      <c r="AC108" s="6" t="inlineStr">
        <is>
          <t>watch</t>
        </is>
      </c>
      <c r="AD108" s="6" t="inlineStr">
        <is>
          <t>up</t>
        </is>
      </c>
      <c r="AE108" s="17" t="n">
        <v>55.5938</v>
      </c>
      <c r="AF108" s="17" t="n">
        <v>53.5719</v>
      </c>
      <c r="AG108" s="17" t="n">
        <v>57.6156</v>
      </c>
      <c r="AH108" s="20" t="n">
        <v>46331</v>
      </c>
      <c r="AI108" s="18" t="n">
        <v>0.54</v>
      </c>
      <c r="AJ108" s="6" t="inlineStr">
        <is>
          <t>watch</t>
        </is>
      </c>
      <c r="AK108" s="12" t="n">
        <v>6</v>
      </c>
      <c r="AL108" s="15" t="inlineStr">
        <is>
          <t>UBS Maintains Buy on EQT, Lowers Price Target to $75</t>
        </is>
      </c>
      <c r="AM108" s="17" t="n">
        <v>54.785</v>
      </c>
      <c r="AN108" s="19" t="n">
        <v>-0.0257</v>
      </c>
      <c r="AO108" s="17" t="n">
        <v>99498.22</v>
      </c>
      <c r="AP108" s="17" t="n">
        <v>13211.93</v>
      </c>
      <c r="AQ108" s="19" t="n">
        <v>0.0833</v>
      </c>
      <c r="AR108" s="16" t="n">
        <v>24.950127411</v>
      </c>
      <c r="AS108" s="17" t="n">
        <v>54.94</v>
      </c>
      <c r="AT108" s="19" t="n">
        <v>-0.0033</v>
      </c>
      <c r="AU108" s="6" t="inlineStr">
        <is>
          <t>paper</t>
        </is>
      </c>
      <c r="AV108" s="6" t="inlineStr">
        <is>
          <t>3539abf7-dadc-480f-b7ab-2912f7545db5</t>
        </is>
      </c>
      <c r="AW108" s="6" t="inlineStr">
        <is>
          <t>tdagent-sell-EQT-1793293964775</t>
        </is>
      </c>
      <c r="AX108" s="13" t="n">
        <v>46324.71717592593</v>
      </c>
      <c r="AY108" s="13" t="n">
        <v>46324.71719907408</v>
      </c>
      <c r="AZ108" s="13" t="n">
        <v>46324.71689814814</v>
      </c>
      <c r="BA108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71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/>
      <c r="I43" s="22" t="n"/>
      <c r="J43" s="17" t="n"/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n"/>
      <c r="P43" s="6" t="inlineStr">
        <is>
          <t>Open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/>
      <c r="I44" s="22" t="n"/>
      <c r="J44" s="17" t="n"/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n"/>
      <c r="P44" s="6" t="inlineStr">
        <is>
          <t>Open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/>
      <c r="I46" s="22" t="n"/>
      <c r="J46" s="17" t="n"/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n"/>
      <c r="P46" s="6" t="inlineStr">
        <is>
          <t>Open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/>
      <c r="I47" s="22" t="n"/>
      <c r="J47" s="17" t="n"/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n"/>
      <c r="P47" s="6" t="inlineStr">
        <is>
          <t>Open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/>
      <c r="I49" s="22" t="n"/>
      <c r="J49" s="17" t="n"/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n"/>
      <c r="P49" s="6" t="inlineStr">
        <is>
          <t>Open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/>
      <c r="I51" s="22" t="n"/>
      <c r="J51" s="17" t="n"/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n"/>
      <c r="P51" s="6" t="inlineStr">
        <is>
          <t>Open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/>
      <c r="I52" s="22" t="n"/>
      <c r="J52" s="17" t="n"/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n"/>
      <c r="P52" s="6" t="inlineStr">
        <is>
          <t>Open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/>
      <c r="I53" s="22" t="n"/>
      <c r="J53" s="17" t="n"/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n"/>
      <c r="P53" s="6" t="inlineStr">
        <is>
          <t>Open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/>
      <c r="I54" s="22" t="n"/>
      <c r="J54" s="17" t="n"/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n"/>
      <c r="P54" s="6" t="inlineStr">
        <is>
          <t>Open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/>
      <c r="I55" s="22" t="n"/>
      <c r="J55" s="17" t="n"/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n"/>
      <c r="P55" s="6" t="inlineStr">
        <is>
          <t>Open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/>
      <c r="I56" s="22" t="n"/>
      <c r="J56" s="17" t="n"/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n"/>
      <c r="P56" s="6" t="inlineStr">
        <is>
          <t>Open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/>
      <c r="I57" s="22" t="n"/>
      <c r="J57" s="17" t="n"/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n"/>
      <c r="P57" s="6" t="inlineStr">
        <is>
          <t>Open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/>
      <c r="I59" s="22" t="n"/>
      <c r="J59" s="17" t="n"/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n"/>
      <c r="P59" s="6" t="inlineStr">
        <is>
          <t>Open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/>
      <c r="I60" s="22" t="n"/>
      <c r="J60" s="17" t="n"/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n"/>
      <c r="P60" s="6" t="inlineStr">
        <is>
          <t>Open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/>
      <c r="I61" s="22" t="n"/>
      <c r="J61" s="17" t="n"/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n"/>
      <c r="P61" s="6" t="inlineStr">
        <is>
          <t>Open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/>
      <c r="I62" s="22" t="n"/>
      <c r="J62" s="17" t="n"/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n"/>
      <c r="P62" s="6" t="inlineStr">
        <is>
          <t>Open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/>
      <c r="I63" s="22" t="n"/>
      <c r="J63" s="17" t="n"/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n"/>
      <c r="P63" s="6" t="inlineStr">
        <is>
          <t>Open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/>
      <c r="I65" s="22" t="n"/>
      <c r="J65" s="17" t="n"/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n"/>
      <c r="P65" s="6" t="inlineStr">
        <is>
          <t>Open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/>
      <c r="I66" s="22" t="n"/>
      <c r="J66" s="17" t="n"/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n"/>
      <c r="P66" s="6" t="inlineStr">
        <is>
          <t>Open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1.325708929</v>
      </c>
      <c r="G67" s="17">
        <f>E67*F67</f>
        <v/>
      </c>
      <c r="H67" s="22" t="n"/>
      <c r="I67" s="22" t="n"/>
      <c r="J67" s="17" t="n"/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n"/>
      <c r="P67" s="6" t="inlineStr">
        <is>
          <t>Open</t>
        </is>
      </c>
    </row>
    <row r="68">
      <c r="A68" s="6" t="inlineStr">
        <is>
          <t>EQNR</t>
        </is>
      </c>
      <c r="B68" s="6" t="inlineStr">
        <is>
          <t>Equinor ASA American Depositary Shares (Each Representing One Ordinary Share, nominal value NOK 2.50 per share)</t>
        </is>
      </c>
      <c r="C68" s="22" t="n">
        <v>46324.67839120371</v>
      </c>
      <c r="D68" s="22" t="n">
        <v>46324.47005787037</v>
      </c>
      <c r="E68" s="17" t="n">
        <v>47.09</v>
      </c>
      <c r="F68" s="16" t="n">
        <v>14.117434699</v>
      </c>
      <c r="G68" s="17">
        <f>E68*F68</f>
        <v/>
      </c>
      <c r="H68" s="22" t="n"/>
      <c r="I68" s="22" t="n"/>
      <c r="J68" s="17" t="n"/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n"/>
      <c r="P68" s="6" t="inlineStr">
        <is>
          <t>Open</t>
        </is>
      </c>
    </row>
    <row r="69">
      <c r="A69" s="6" t="inlineStr">
        <is>
          <t>SO</t>
        </is>
      </c>
      <c r="B69" s="6" t="inlineStr">
        <is>
          <t>The Southern Company</t>
        </is>
      </c>
      <c r="C69" s="22" t="n">
        <v>46324.68998842593</v>
      </c>
      <c r="D69" s="22" t="n">
        <v>46324.48165509259</v>
      </c>
      <c r="E69" s="17" t="n">
        <v>92.97</v>
      </c>
      <c r="F69" s="16" t="n">
        <v>14.744111003</v>
      </c>
      <c r="G69" s="17">
        <f>E69*F69</f>
        <v/>
      </c>
      <c r="H69" s="22" t="n"/>
      <c r="I69" s="22" t="n"/>
      <c r="J69" s="17" t="n"/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n"/>
      <c r="P69" s="6" t="inlineStr">
        <is>
          <t>Open</t>
        </is>
      </c>
    </row>
    <row r="70">
      <c r="A70" s="6" t="inlineStr">
        <is>
          <t>EQT</t>
        </is>
      </c>
      <c r="B70" s="6" t="inlineStr">
        <is>
          <t>EQT CORP</t>
        </is>
      </c>
      <c r="C70" s="22" t="n">
        <v>46324.69001157407</v>
      </c>
      <c r="D70" s="22" t="n">
        <v>46324.48167824074</v>
      </c>
      <c r="E70" s="17" t="n">
        <v>54.94</v>
      </c>
      <c r="F70" s="16" t="n">
        <v>24.950127411</v>
      </c>
      <c r="G70" s="17">
        <f>E70*F70</f>
        <v/>
      </c>
      <c r="H70" s="22" t="n">
        <v>46324.75886574074</v>
      </c>
      <c r="I70" s="22" t="n">
        <v>46324.5505324074</v>
      </c>
      <c r="J70" s="17" t="n">
        <v>54.75</v>
      </c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inlineStr">
        <is>
          <t>2 or fewer green</t>
        </is>
      </c>
      <c r="P70" s="6" t="inlineStr">
        <is>
          <t>Closed</t>
        </is>
      </c>
    </row>
    <row r="71">
      <c r="A71" s="6" t="inlineStr">
        <is>
          <t>EBAY</t>
        </is>
      </c>
      <c r="B71" s="6" t="inlineStr">
        <is>
          <t>eBay Inc. Common Stock</t>
        </is>
      </c>
      <c r="C71" s="22" t="n">
        <v>46324.7149074074</v>
      </c>
      <c r="D71" s="22" t="n">
        <v>46324.50657407408</v>
      </c>
      <c r="E71" s="17" t="n">
        <v>121.4</v>
      </c>
      <c r="F71" s="16" t="n">
        <v>9.638632618999999</v>
      </c>
      <c r="G71" s="17">
        <f>E71*F71</f>
        <v/>
      </c>
      <c r="H71" s="22" t="n"/>
      <c r="I71" s="22" t="n"/>
      <c r="J71" s="17" t="n"/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n"/>
      <c r="P71" s="6" t="inlineStr">
        <is>
          <t>Open</t>
        </is>
      </c>
    </row>
  </sheetData>
  <conditionalFormatting sqref="L2:M71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2026-10-29T17:12:59Z</dcterms:created>
  <dcterms:modified xsi:type="dcterms:W3CDTF">2026-10-29T17:12:59Z</dcterms:modified>
</cp:coreProperties>
</file>