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13" headerRowCount="1">
  <autoFilter ref="A1:BA113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73" headerRowCount="1">
  <autoFilter ref="A1:P73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46324.81164351852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46324.60331018519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COUNTIF(Orders!$E$2:$E$113,"BUY")+COUNTIF(Orders!$E$2:$E$113,"SELL")</f>
        <v/>
      </c>
    </row>
    <row r="9">
      <c r="A9" s="6" t="inlineStr">
        <is>
          <t>Buy orders</t>
        </is>
      </c>
      <c r="B9" s="7">
        <f>COUNTIF(Orders!$E$2:$E$113,"BUY")</f>
        <v/>
      </c>
    </row>
    <row r="10">
      <c r="A10" s="6" t="inlineStr">
        <is>
          <t>Sell orders</t>
        </is>
      </c>
      <c r="B10" s="7">
        <f>COUNTIF(Orders!$E$2:$E$113,"SELL")</f>
        <v/>
      </c>
    </row>
    <row r="11">
      <c r="A11" s="6" t="inlineStr">
        <is>
          <t>Filled orders</t>
        </is>
      </c>
      <c r="B11" s="7">
        <f>COUNTIF(Orders!$I$2:$I$113,"filled")</f>
        <v/>
      </c>
    </row>
    <row r="12">
      <c r="A12" s="6" t="inlineStr">
        <is>
          <t>Total bought $</t>
        </is>
      </c>
      <c r="B12" s="8">
        <f>SUMIFS(Orders!$L$2:$L$113,Orders!$E$2:$E$113,"BUY")</f>
        <v/>
      </c>
    </row>
    <row r="13">
      <c r="A13" s="6" t="inlineStr">
        <is>
          <t>Total sold $</t>
        </is>
      </c>
      <c r="B13" s="8">
        <f>SUMIFS(Orders!$L$2:$L$113,Orders!$E$2:$E$113,"SELL")</f>
        <v/>
      </c>
    </row>
    <row r="14">
      <c r="A14" s="6" t="inlineStr">
        <is>
          <t>Closed round trips</t>
        </is>
      </c>
      <c r="B14" s="7">
        <f>COUNTIF('Round trips'!$P$2:$P$73,"Closed")</f>
        <v/>
      </c>
    </row>
    <row r="15">
      <c r="A15" s="6" t="inlineStr">
        <is>
          <t>Open lots</t>
        </is>
      </c>
      <c r="B15" s="7">
        <f>COUNTIF('Round trips'!$P$2:$P$73,"Open")</f>
        <v/>
      </c>
    </row>
    <row r="16">
      <c r="A16" s="6" t="inlineStr">
        <is>
          <t>Realized P/L $</t>
        </is>
      </c>
      <c r="B16" s="9">
        <f>SUM('Round trips'!$L$2:$L$73)</f>
        <v/>
      </c>
    </row>
    <row r="17">
      <c r="A17" s="6" t="inlineStr">
        <is>
          <t>Winning round trips</t>
        </is>
      </c>
      <c r="B17" s="7">
        <f>COUNTIFS('Round trips'!$P$2:$P$73,"Closed",'Round trips'!$L$2:$L$73,"&gt;0")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13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73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/>
      <c r="I43" s="22" t="n"/>
      <c r="J43" s="17" t="n"/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n"/>
      <c r="P43" s="6" t="inlineStr">
        <is>
          <t>Open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/>
      <c r="I44" s="22" t="n"/>
      <c r="J44" s="17" t="n"/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n"/>
      <c r="P44" s="6" t="inlineStr">
        <is>
          <t>Open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/>
      <c r="I46" s="22" t="n"/>
      <c r="J46" s="17" t="n"/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n"/>
      <c r="P46" s="6" t="inlineStr">
        <is>
          <t>Open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/>
      <c r="I47" s="22" t="n"/>
      <c r="J47" s="17" t="n"/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n"/>
      <c r="P47" s="6" t="inlineStr">
        <is>
          <t>Open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/>
      <c r="I49" s="22" t="n"/>
      <c r="J49" s="17" t="n"/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n"/>
      <c r="P49" s="6" t="inlineStr">
        <is>
          <t>Open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/>
      <c r="I52" s="22" t="n"/>
      <c r="J52" s="17" t="n"/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n"/>
      <c r="P52" s="6" t="inlineStr">
        <is>
          <t>Open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/>
      <c r="I53" s="22" t="n"/>
      <c r="J53" s="17" t="n"/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n"/>
      <c r="P53" s="6" t="inlineStr">
        <is>
          <t>Open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/>
      <c r="I54" s="22" t="n"/>
      <c r="J54" s="17" t="n"/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n"/>
      <c r="P54" s="6" t="inlineStr">
        <is>
          <t>Open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/>
      <c r="I55" s="22" t="n"/>
      <c r="J55" s="17" t="n"/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n"/>
      <c r="P55" s="6" t="inlineStr">
        <is>
          <t>Open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/>
      <c r="I56" s="22" t="n"/>
      <c r="J56" s="17" t="n"/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n"/>
      <c r="P56" s="6" t="inlineStr">
        <is>
          <t>Open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/>
      <c r="I59" s="22" t="n"/>
      <c r="J59" s="17" t="n"/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n"/>
      <c r="P59" s="6" t="inlineStr">
        <is>
          <t>Open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/>
      <c r="I60" s="22" t="n"/>
      <c r="J60" s="17" t="n"/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n"/>
      <c r="P60" s="6" t="inlineStr">
        <is>
          <t>Open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/>
      <c r="I61" s="22" t="n"/>
      <c r="J61" s="17" t="n"/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n"/>
      <c r="P61" s="6" t="inlineStr">
        <is>
          <t>Open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/>
      <c r="I62" s="22" t="n"/>
      <c r="J62" s="17" t="n"/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n"/>
      <c r="P62" s="6" t="inlineStr">
        <is>
          <t>Open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/>
      <c r="I63" s="22" t="n"/>
      <c r="J63" s="17" t="n"/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n"/>
      <c r="P63" s="6" t="inlineStr">
        <is>
          <t>Open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/>
      <c r="I65" s="22" t="n"/>
      <c r="J65" s="17" t="n"/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n"/>
      <c r="P65" s="6" t="inlineStr">
        <is>
          <t>Open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/>
      <c r="I68" s="22" t="n"/>
      <c r="J68" s="17" t="n"/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n"/>
      <c r="P68" s="6" t="inlineStr">
        <is>
          <t>Open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/>
      <c r="I69" s="22" t="n"/>
      <c r="J69" s="17" t="n"/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n"/>
      <c r="P69" s="6" t="inlineStr">
        <is>
          <t>Open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/>
      <c r="I70" s="22" t="n"/>
      <c r="J70" s="17" t="n"/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n"/>
      <c r="P70" s="6" t="inlineStr">
        <is>
          <t>Open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/>
      <c r="I72" s="22" t="n"/>
      <c r="J72" s="17" t="n"/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n"/>
      <c r="P72" s="6" t="inlineStr">
        <is>
          <t>Open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/>
      <c r="I73" s="22" t="n"/>
      <c r="J73" s="17" t="n"/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n"/>
      <c r="P73" s="6" t="inlineStr">
        <is>
          <t>Open</t>
        </is>
      </c>
    </row>
  </sheetData>
  <conditionalFormatting sqref="L2:M73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2026-10-29T18:28:46Z</dcterms:created>
  <dcterms:modified xsi:type="dcterms:W3CDTF">2026-10-29T18:28:46Z</dcterms:modified>
</cp:coreProperties>
</file>