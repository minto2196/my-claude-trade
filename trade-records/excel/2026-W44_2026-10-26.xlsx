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15" headerRowCount="1">
  <autoFilter ref="A1:BA115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4" headerRowCount="1">
  <autoFilter ref="A1:P74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46324.84730324074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46324.63896990741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COUNTIF(Orders!$E$2:$E$115,"BUY")+COUNTIF(Orders!$E$2:$E$115,"SELL")</f>
        <v/>
      </c>
    </row>
    <row r="9">
      <c r="A9" s="6" t="inlineStr">
        <is>
          <t>Buy orders</t>
        </is>
      </c>
      <c r="B9" s="7">
        <f>COUNTIF(Orders!$E$2:$E$115,"BUY")</f>
        <v/>
      </c>
    </row>
    <row r="10">
      <c r="A10" s="6" t="inlineStr">
        <is>
          <t>Sell orders</t>
        </is>
      </c>
      <c r="B10" s="7">
        <f>COUNTIF(Orders!$E$2:$E$115,"SELL")</f>
        <v/>
      </c>
    </row>
    <row r="11">
      <c r="A11" s="6" t="inlineStr">
        <is>
          <t>Filled orders</t>
        </is>
      </c>
      <c r="B11" s="7">
        <f>COUNTIF(Orders!$I$2:$I$115,"filled")</f>
        <v/>
      </c>
    </row>
    <row r="12">
      <c r="A12" s="6" t="inlineStr">
        <is>
          <t>Total bought $</t>
        </is>
      </c>
      <c r="B12" s="8">
        <f>SUMIFS(Orders!$L$2:$L$115,Orders!$E$2:$E$115,"BUY")</f>
        <v/>
      </c>
    </row>
    <row r="13">
      <c r="A13" s="6" t="inlineStr">
        <is>
          <t>Total sold $</t>
        </is>
      </c>
      <c r="B13" s="8">
        <f>SUMIFS(Orders!$L$2:$L$115,Orders!$E$2:$E$115,"SELL")</f>
        <v/>
      </c>
    </row>
    <row r="14">
      <c r="A14" s="6" t="inlineStr">
        <is>
          <t>Closed round trips</t>
        </is>
      </c>
      <c r="B14" s="7">
        <f>COUNTIF('Round trips'!$P$2:$P$74,"Closed")</f>
        <v/>
      </c>
    </row>
    <row r="15">
      <c r="A15" s="6" t="inlineStr">
        <is>
          <t>Open lots</t>
        </is>
      </c>
      <c r="B15" s="7">
        <f>COUNTIF('Round trips'!$P$2:$P$74,"Open")</f>
        <v/>
      </c>
    </row>
    <row r="16">
      <c r="A16" s="6" t="inlineStr">
        <is>
          <t>Realized P/L $</t>
        </is>
      </c>
      <c r="B16" s="9">
        <f>SUM('Round trips'!$L$2:$L$74)</f>
        <v/>
      </c>
    </row>
    <row r="17">
      <c r="A17" s="6" t="inlineStr">
        <is>
          <t>Winning round trips</t>
        </is>
      </c>
      <c r="B17" s="7">
        <f>COUNTIFS('Round trips'!$P$2:$P$74,"Closed",'Round trips'!$L$2:$L$74,"&gt;0")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1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46324.83886574074</v>
      </c>
      <c r="C114" s="13" t="n">
        <v>46324.63053240741</v>
      </c>
      <c r="D114" s="13" t="n">
        <v>46324.79719907408</v>
      </c>
      <c r="E114" s="14" t="inlineStr">
        <is>
          <t>BUY</t>
        </is>
      </c>
      <c r="F114" s="6" t="inlineStr">
        <is>
          <t>MNST</t>
        </is>
      </c>
      <c r="G114" s="15" t="inlineStr">
        <is>
          <t>Monster Beverage Corporation</t>
        </is>
      </c>
      <c r="H114" s="6" t="inlineStr">
        <is>
          <t>NASDAQ</t>
        </is>
      </c>
      <c r="I114" s="6" t="inlineStr">
        <is>
          <t>filled</t>
        </is>
      </c>
      <c r="J114" s="16" t="n">
        <v>41.930066911</v>
      </c>
      <c r="K114" s="17" t="n">
        <v>46.33</v>
      </c>
      <c r="L114" s="17">
        <f>IF(AND(ISNUMBER(J114),ISNUMBER(K114)),J114*K114,"")</f>
        <v/>
      </c>
      <c r="M114" s="17" t="n">
        <v>1942.63</v>
      </c>
      <c r="N114" s="16" t="n"/>
      <c r="O114" s="6" t="inlineStr">
        <is>
          <t>4+/5 green</t>
        </is>
      </c>
      <c r="P114" s="15" t="inlineStr">
        <is>
          <t>4 of 5 green, time machine green, rank #5, 8.33% of the $23,320.90 free cash split 12 ways</t>
        </is>
      </c>
      <c r="Q114" s="12" t="n">
        <v>4</v>
      </c>
      <c r="R114" s="6" t="inlineStr">
        <is>
          <t>ok</t>
        </is>
      </c>
      <c r="S114" s="18" t="n">
        <v>0.652</v>
      </c>
      <c r="T114" s="12" t="n">
        <v>89</v>
      </c>
      <c r="U114" s="19" t="n">
        <v>0.0089</v>
      </c>
      <c r="V114" s="19" t="n">
        <v>0.2893</v>
      </c>
      <c r="W114" s="12" t="n">
        <v>5</v>
      </c>
      <c r="X114" s="6" t="inlineStr">
        <is>
          <t>ok</t>
        </is>
      </c>
      <c r="Y114" s="19" t="n">
        <v>0.0002</v>
      </c>
      <c r="Z114" s="6" t="inlineStr">
        <is>
          <t>ok</t>
        </is>
      </c>
      <c r="AA114" s="12" t="n">
        <v>100</v>
      </c>
      <c r="AB114" s="15" t="n"/>
      <c r="AC114" s="6" t="inlineStr">
        <is>
          <t>ok</t>
        </is>
      </c>
      <c r="AD114" s="6" t="inlineStr">
        <is>
          <t>up</t>
        </is>
      </c>
      <c r="AE114" s="17" t="n">
        <v>46.9591</v>
      </c>
      <c r="AF114" s="17" t="n">
        <v>45.3364</v>
      </c>
      <c r="AG114" s="17" t="n">
        <v>48.5818</v>
      </c>
      <c r="AH114" s="20" t="n">
        <v>46331</v>
      </c>
      <c r="AI114" s="18" t="n">
        <v>0.53</v>
      </c>
      <c r="AJ114" s="6" t="inlineStr">
        <is>
          <t>watch</t>
        </is>
      </c>
      <c r="AK114" s="12" t="n">
        <v>1</v>
      </c>
      <c r="AL114" s="15" t="inlineStr">
        <is>
          <t>Monster Beverage Corporation Announces Third Quarter 2026 Earnings Release Date</t>
        </is>
      </c>
      <c r="AM114" s="17" t="n">
        <v>46.32</v>
      </c>
      <c r="AN114" s="19" t="n">
        <v>0.014</v>
      </c>
      <c r="AO114" s="17" t="n">
        <v>99455.06</v>
      </c>
      <c r="AP114" s="17" t="n">
        <v>23320.9</v>
      </c>
      <c r="AQ114" s="19" t="n">
        <v>0.0833</v>
      </c>
      <c r="AR114" s="16" t="n"/>
      <c r="AS114" s="17" t="n"/>
      <c r="AT114" s="19" t="n"/>
      <c r="AU114" s="6" t="inlineStr">
        <is>
          <t>paper</t>
        </is>
      </c>
      <c r="AV114" s="6" t="inlineStr">
        <is>
          <t>3e9a5e35-8f69-42ac-88d5-32689c3ef2c2</t>
        </is>
      </c>
      <c r="AW114" s="6" t="inlineStr">
        <is>
          <t>tdagent-buy-MNST-1793300877596</t>
        </is>
      </c>
      <c r="AX114" s="13" t="n">
        <v>46324.7971875</v>
      </c>
      <c r="AY114" s="13" t="n">
        <v>46324.79719907408</v>
      </c>
      <c r="AZ114" s="13" t="n">
        <v>46324.79684027778</v>
      </c>
      <c r="BA114" s="6" t="n"/>
    </row>
    <row r="115">
      <c r="A115" s="12" t="n">
        <v>114</v>
      </c>
      <c r="B115" s="13" t="n">
        <v>46324.84719907407</v>
      </c>
      <c r="C115" s="13" t="n">
        <v>46324.63886574074</v>
      </c>
      <c r="D115" s="13" t="n">
        <v>46324.80553240741</v>
      </c>
      <c r="E115" s="21" t="inlineStr">
        <is>
          <t>SELL</t>
        </is>
      </c>
      <c r="F115" s="6" t="inlineStr">
        <is>
          <t>XOM</t>
        </is>
      </c>
      <c r="G115" s="15" t="inlineStr">
        <is>
          <t>XOM</t>
        </is>
      </c>
      <c r="H115" s="6" t="inlineStr">
        <is>
          <t>NYSE</t>
        </is>
      </c>
      <c r="I115" s="6" t="inlineStr">
        <is>
          <t>filled</t>
        </is>
      </c>
      <c r="J115" s="16" t="n">
        <v>1.829160247</v>
      </c>
      <c r="K115" s="17" t="n">
        <v>182.77</v>
      </c>
      <c r="L115" s="17">
        <f>IF(AND(ISNUMBER(J115),ISNUMBER(K115)),J115*K115,"")</f>
        <v/>
      </c>
      <c r="M115" s="17" t="n"/>
      <c r="N115" s="16" t="n">
        <v>1.829160247</v>
      </c>
      <c r="O115" s="6" t="inlineStr">
        <is>
          <t>2 or fewer green</t>
        </is>
      </c>
      <c r="P115" s="15" t="inlineStr">
        <is>
          <t>Only 2 of 5 green</t>
        </is>
      </c>
      <c r="Q115" s="12" t="n">
        <v>2</v>
      </c>
      <c r="R115" s="6" t="inlineStr">
        <is>
          <t>ok</t>
        </is>
      </c>
      <c r="S115" s="18" t="n">
        <v>0.624</v>
      </c>
      <c r="T115" s="12" t="n">
        <v>93</v>
      </c>
      <c r="U115" s="19" t="n">
        <v>0.0119</v>
      </c>
      <c r="V115" s="19" t="n">
        <v>0.2893</v>
      </c>
      <c r="W115" s="12" t="n"/>
      <c r="X115" s="6" t="inlineStr">
        <is>
          <t>watch</t>
        </is>
      </c>
      <c r="Y115" s="19" t="n">
        <v>0.008</v>
      </c>
      <c r="Z115" s="6" t="inlineStr">
        <is>
          <t>ok</t>
        </is>
      </c>
      <c r="AA115" s="12" t="n">
        <v>100</v>
      </c>
      <c r="AB115" s="15" t="n"/>
      <c r="AC115" s="6" t="inlineStr">
        <is>
          <t>watch</t>
        </is>
      </c>
      <c r="AD115" s="6" t="inlineStr">
        <is>
          <t>flat</t>
        </is>
      </c>
      <c r="AE115" s="17" t="n">
        <v>182.76</v>
      </c>
      <c r="AF115" s="17" t="n">
        <v>176.5879</v>
      </c>
      <c r="AG115" s="17" t="n">
        <v>188.9321</v>
      </c>
      <c r="AH115" s="20" t="n">
        <v>46331</v>
      </c>
      <c r="AI115" s="18" t="n">
        <v>0.5</v>
      </c>
      <c r="AJ115" s="6" t="inlineStr">
        <is>
          <t>watch</t>
        </is>
      </c>
      <c r="AK115" s="12" t="n">
        <v>8</v>
      </c>
      <c r="AL115" s="15" t="inlineStr">
        <is>
          <t>Exxon Mobil and Citgo Petroleum Acquire Venezuelan Crude Oil Shipment</t>
        </is>
      </c>
      <c r="AM115" s="17" t="n">
        <v>182.76</v>
      </c>
      <c r="AN115" s="19" t="n">
        <v>0.0037</v>
      </c>
      <c r="AO115" s="17" t="n">
        <v>99423.74000000001</v>
      </c>
      <c r="AP115" s="17" t="n">
        <v>21378.28</v>
      </c>
      <c r="AQ115" s="19" t="n">
        <v>0.0833</v>
      </c>
      <c r="AR115" s="16" t="n">
        <v>1.829160247</v>
      </c>
      <c r="AS115" s="17" t="n">
        <v>181.72</v>
      </c>
      <c r="AT115" s="19" t="n">
        <v>0.0059</v>
      </c>
      <c r="AU115" s="6" t="inlineStr">
        <is>
          <t>paper</t>
        </is>
      </c>
      <c r="AV115" s="6" t="inlineStr">
        <is>
          <t>c5433a9a-d16b-46fa-9feb-760487f14491</t>
        </is>
      </c>
      <c r="AW115" s="6" t="inlineStr">
        <is>
          <t>tdagent-sell-XOM-1793301597035</t>
        </is>
      </c>
      <c r="AX115" s="13" t="n">
        <v>46324.80552083333</v>
      </c>
      <c r="AY115" s="13" t="n">
        <v>46324.80553240741</v>
      </c>
      <c r="AZ115" s="13" t="n">
        <v>46324.80516203704</v>
      </c>
      <c r="BA115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4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/>
      <c r="I70" s="22" t="n"/>
      <c r="J70" s="17" t="n"/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n"/>
      <c r="P70" s="6" t="inlineStr">
        <is>
          <t>Open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/>
      <c r="I72" s="22" t="n"/>
      <c r="J72" s="17" t="n"/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n"/>
      <c r="P72" s="6" t="inlineStr">
        <is>
          <t>Open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/>
      <c r="I73" s="22" t="n"/>
      <c r="J73" s="17" t="n"/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n"/>
      <c r="P73" s="6" t="inlineStr">
        <is>
          <t>Open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/>
      <c r="I74" s="22" t="n"/>
      <c r="J74" s="17" t="n"/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n"/>
      <c r="P74" s="6" t="inlineStr">
        <is>
          <t>Open</t>
        </is>
      </c>
    </row>
  </sheetData>
  <conditionalFormatting sqref="L2:M74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2026-10-29T19:20:07Z</dcterms:created>
  <dcterms:modified xsi:type="dcterms:W3CDTF">2026-10-29T19:20:07Z</dcterms:modified>
</cp:coreProperties>
</file>